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filterPrivacy="1"/>
  <xr:revisionPtr revIDLastSave="0" documentId="13_ncr:1_{4920D505-5745-0F42-A59F-E86BF1646C29}" xr6:coauthVersionLast="47" xr6:coauthVersionMax="47" xr10:uidLastSave="{00000000-0000-0000-0000-000000000000}"/>
  <bookViews>
    <workbookView xWindow="0" yWindow="760" windowWidth="29400" windowHeight="16980" activeTab="12" xr2:uid="{AF1CF454-7A75-48B8-BF10-8CB9C51E00D4}"/>
  </bookViews>
  <sheets>
    <sheet name="Cover" sheetId="16" r:id="rId1"/>
    <sheet name="DuPont Analysis" sheetId="54" r:id="rId2"/>
    <sheet name="Valuation&gt;" sheetId="52" r:id="rId3"/>
    <sheet name="DCF" sheetId="49" r:id="rId4"/>
    <sheet name="Comps" sheetId="57" r:id="rId5"/>
    <sheet name="Balance&gt;" sheetId="44" r:id="rId6"/>
    <sheet name="3FS" sheetId="17" r:id="rId7"/>
    <sheet name="Projections" sheetId="24" r:id="rId8"/>
    <sheet name="Drivers&gt;" sheetId="27" r:id="rId9"/>
    <sheet name="Debt &amp; Equity" sheetId="25" r:id="rId10"/>
    <sheet name="PPE" sheetId="23" r:id="rId11"/>
    <sheet name="Intangibles" sheetId="33" r:id="rId12"/>
    <sheet name="Revenue Build" sheetId="14" r:id="rId13"/>
    <sheet name="References&gt;" sheetId="51" r:id="rId14"/>
    <sheet name="For Graphs" sheetId="55" r:id="rId15"/>
    <sheet name="Stock Price" sheetId="58" r:id="rId16"/>
    <sheet name="Synthetic Rating" sheetId="50" r:id="rId17"/>
  </sheets>
  <externalReferences>
    <externalReference r:id="rId18"/>
    <externalReference r:id="rId19"/>
    <externalReference r:id="rId20"/>
    <externalReference r:id="rId21"/>
  </externalReferences>
  <definedNames>
    <definedName name="__123Graph_A" hidden="1">#REF!</definedName>
    <definedName name="__123Graph_AChart1" hidden="1">#REF!</definedName>
    <definedName name="__123Graph_ACurrent" hidden="1">#REF!</definedName>
    <definedName name="__123Graph_B" hidden="1">#REF!</definedName>
    <definedName name="__123Graph_BChart1" hidden="1">#REF!</definedName>
    <definedName name="__123Graph_BCurrent" hidden="1">#REF!</definedName>
    <definedName name="__123Graph_C" hidden="1">#REF!</definedName>
    <definedName name="__123Graph_CChart1" hidden="1">#REF!</definedName>
    <definedName name="__123Graph_CCurrent" hidden="1">#REF!</definedName>
    <definedName name="__123Graph_D" hidden="1">#REF!</definedName>
    <definedName name="__123Graph_DCurrent" hidden="1">#REF!</definedName>
    <definedName name="__123Graph_E" hidden="1">#REF!</definedName>
    <definedName name="__123Graph_ECurrent" hidden="1">#REF!</definedName>
    <definedName name="__123Graph_F" hidden="1">#REF!</definedName>
    <definedName name="__123Graph_FCurrent" hidden="1">#REF!</definedName>
    <definedName name="__123Graph_X" hidden="1">#REF!</definedName>
    <definedName name="__FDS_HYPERLINK_TOGGLE_STATE__" hidden="1">"ON"</definedName>
    <definedName name="_Fill" hidden="1">#REF!</definedName>
    <definedName name="_xlnm._FilterDatabase" hidden="1">#REF!</definedName>
    <definedName name="_Key1" hidden="1">#REF!</definedName>
    <definedName name="_Key2" hidden="1">#REF!</definedName>
    <definedName name="_Order1" hidden="1">0</definedName>
    <definedName name="_Order2" hidden="1">255</definedName>
    <definedName name="_Regression_Int" hidden="1">1</definedName>
    <definedName name="_Sort" hidden="1">#REF!</definedName>
    <definedName name="_xlchart.v1.0" hidden="1">'DuPont Analysis'!$J$35:$O$35</definedName>
    <definedName name="_xlchart.v1.1" hidden="1">'DuPont Analysis'!$J$6:$O$6</definedName>
    <definedName name="_xlchart.v1.2" hidden="1">'DuPont Analysis'!$J$33:$O$33</definedName>
    <definedName name="_xlchart.v1.3" hidden="1">'DuPont Analysis'!$J$6:$O$6</definedName>
    <definedName name="_xlcn.WorksheetConnection_T9A2C161"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S" hidden="1">#REF!</definedName>
    <definedName name="ABCN" hidden="1">{#N/A,#N/A,FALSE,"M1s Board";#N/A,#N/A,FALSE,"M3 Board";#N/A,#N/A,FALSE,"M6 Board";#N/A,#N/A,FALSE,"M7";#N/A,#N/A,FALSE,"M7B";#N/A,#N/A,FALSE,"M8";#N/A,#N/A,FALSE,"M8A Board";#N/A,#N/A,FALSE,"AF1 Board"}</definedName>
    <definedName name="adas" hidden="1">{"M1Print",#N/A,TRUE,"M1";"M2Print",#N/A,TRUE,"M2";"M1sPrint",#N/A,TRUE,"M1s";"M2aPrint",#N/A,TRUE,"M2a";"M4Print",#N/A,TRUE,"M4";"M5Print",#N/A,TRUE,"M5";"M6Print",#N/A,TRUE,"M6";"M6_1Print",#N/A,TRUE,"M6_1";"M6_2Print",#N/A,TRUE,"M6_2";"M7_1Print",#N/A,TRUE,"M7_1";"M7_2Print",#N/A,TRUE,"M7_2"}</definedName>
    <definedName name="afagaga" hidden="1">{"M1Print",#N/A,TRUE,"M1";"M2Print",#N/A,TRUE,"M2";"M1sPrint",#N/A,TRUE,"M1s";"M2aPrint",#N/A,TRUE,"M2a";"M4Print",#N/A,TRUE,"M4";"M5Print",#N/A,TRUE,"M5";"M6Print",#N/A,TRUE,"M6";"M6_1Print",#N/A,TRUE,"M6_1";"M6_2Print",#N/A,TRUE,"M6_2";"M7_1Print",#N/A,TRUE,"M7_1";"M7_2Print",#N/A,TRUE,"M7_2"}</definedName>
    <definedName name="agag" hidden="1">{"adj95mult",#N/A,FALSE,"COMPCO";"adj95est",#N/A,FALSE,"COMPCO"}</definedName>
    <definedName name="AJHFkjDGHF" hidden="1">{"Annual_Income",#N/A,FALSE,"Report Page";"Balance_Cash_Flow",#N/A,FALSE,"Report Page";"Quarterly_Income",#N/A,FALSE,"Report Page"}</definedName>
    <definedName name="AMORTIZATION" hidden="1">{#N/A,#N/A,FALSE,"Aging Summary";#N/A,#N/A,FALSE,"Ratio Analysis";#N/A,#N/A,FALSE,"Test 120 Day Accts";#N/A,#N/A,FALSE,"Tickmarks"}</definedName>
    <definedName name="anscount" hidden="1">1</definedName>
    <definedName name="as" hidden="1">#REF!</definedName>
    <definedName name="AS2DocOpenMode" hidden="1">"AS2DocumentEdit"</definedName>
    <definedName name="AS2HasNoAutoHeaderFooter" hidden="1">" "</definedName>
    <definedName name="AS2NamedRange" hidden="1">4</definedName>
    <definedName name="asdasd" hidden="1">{#N/A,#N/A,FALSE,"Aging Summary";#N/A,#N/A,FALSE,"Ratio Analysis";#N/A,#N/A,FALSE,"Test 120 Day Accts";#N/A,#N/A,FALSE,"Tickmarks"}</definedName>
    <definedName name="B" hidden="1">{"Annual_Income",#N/A,FALSE,"Report Page";"Balance_Cash_Flow",#N/A,FALSE,"Report Page";"Quarterly_Income",#N/A,FALSE,"Report Page"}</definedName>
    <definedName name="cashflow20030930" hidden="1">{"M1Print",#N/A,TRUE,"M1";"M2Print",#N/A,TRUE,"M2";"M1sPrint",#N/A,TRUE,"M1s";"M2aPrint",#N/A,TRUE,"M2a";"M4Print",#N/A,TRUE,"M4";"M5Print",#N/A,TRUE,"M5";"M6Print",#N/A,TRUE,"M6";"M6_1Print",#N/A,TRUE,"M6_1";"M6_2Print",#N/A,TRUE,"M6_2";"M7_1Print",#N/A,TRUE,"M7_1";"M7_2Print",#N/A,TRUE,"M7_2"}</definedName>
    <definedName name="ccc" hidden="1">{"mult96",#N/A,FALSE,"PETCOMP";"est96",#N/A,FALSE,"PETCOMP";"mult95",#N/A,FALSE,"PETCOMP";"est95",#N/A,FALSE,"PETCOMP";"multltm",#N/A,FALSE,"PETCOMP";"resultltm",#N/A,FALSE,"PETCOMP"}</definedName>
    <definedName name="ChangeRange" hidden="1">#REF!</definedName>
    <definedName name="CIQWBGuid" hidden="1">"0cbfb414-9462-4d2d-9612-e1e7504bdb22"</definedName>
    <definedName name="CIQWBInfo" hidden="1">"{ ""CIQVersion"":""9.51.3510.3078"" }"</definedName>
    <definedName name="ContentsHelp" hidden="1">#REF!</definedName>
    <definedName name="CreateTable" hidden="1">#REF!</definedName>
    <definedName name="dcf" hidden="1">#REF!</definedName>
    <definedName name="DCF_Katalyst" hidden="1">#REF!</definedName>
    <definedName name="DCF_Violt" hidden="1">#REF!</definedName>
    <definedName name="ddd" hidden="1">{"DCF","UPSIDE CASE",FALSE,"Sheet1";"DCF","BASE CASE",FALSE,"Sheet1";"DCF","DOWNSIDE CASE",FALSE,"Sheet1"}</definedName>
    <definedName name="DeleteRange" hidden="1">#REF!</definedName>
    <definedName name="DeleteTable" hidden="1">#REF!</definedName>
    <definedName name="dfa" hidden="1">{"Annual_Income",#N/A,FALSE,"Report Page";"Balance_Cash_Flow",#N/A,FALSE,"Report Page";"Quarterly_Income",#N/A,FALSE,"Report Page"}</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HFI" hidden="1">{#N/A,#N/A,FALSE,"M1s Board";#N/A,#N/A,FALSE,"M3 Board";#N/A,#N/A,FALSE,"M6 Board";#N/A,#N/A,FALSE,"M7";#N/A,#N/A,FALSE,"M7B";#N/A,#N/A,FALSE,"M8";#N/A,#N/A,FALSE,"M8A Board";#N/A,#N/A,FALSE,"AF1 Board"}</definedName>
    <definedName name="DJ" hidden="1">#REF!</definedName>
    <definedName name="eee" hidden="1">{"Graphic",#N/A,TRUE,"Graphic"}</definedName>
    <definedName name="est" hidden="1">{"EVA",#N/A,FALSE,"EVA";"WACC",#N/A,FALSE,"WACC"}</definedName>
    <definedName name="ev.Calculation" hidden="1">-4135</definedName>
    <definedName name="ev.Initialized" hidden="1">FALSE</definedName>
    <definedName name="ExactAddinConnection" hidden="1">"100"</definedName>
    <definedName name="ExactAddinConnection.100" hidden="1">"CFN-SQL;500;lydia_ang;1"</definedName>
    <definedName name="fafaf" hidden="1">{"M1Print",#N/A,TRUE,"M1";"M2Print",#N/A,TRUE,"M2";"M1sPrint",#N/A,TRUE,"M1s";"M2aPrint",#N/A,TRUE,"M2a";"M4Print",#N/A,TRUE,"M4";"M5Print",#N/A,TRUE,"M5";"M6Print",#N/A,TRUE,"M6";"M6_1Print",#N/A,TRUE,"M6_1";"M6_2Print",#N/A,TRUE,"M6_2";"M7_1Print",#N/A,TRUE,"M7_1";"M7_2Print",#N/A,TRUE,"M7_2"}</definedName>
    <definedName name="f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ff" hidden="1">{"adj95mult",#N/A,FALSE,"COMPCO";"adj95est",#N/A,FALSE,"COMPCO"}</definedName>
    <definedName name="ffefe" hidden="1">{"adj95mult",#N/A,FALSE,"COMPCO";"adj95est",#N/A,FALSE,"COMPCO"}</definedName>
    <definedName name="FSoPacific" hidden="1">{"BS",#N/A,FALSE,"USA"}</definedName>
    <definedName name="gh" hidden="1">{"M1Print",#N/A,TRUE,"M1";"M2Print",#N/A,TRUE,"M2";"M1sPrint",#N/A,TRUE,"M1s";"M2aPrint",#N/A,TRUE,"M2a";"M4Print",#N/A,TRUE,"M4";"M5Print",#N/A,TRUE,"M5";"M6Print",#N/A,TRUE,"M6";"M6_1Print",#N/A,TRUE,"M6_1";"M6_2Print",#N/A,TRUE,"M6_2";"M7_1Print",#N/A,TRUE,"M7_1";"M7_2Print",#N/A,TRUE,"M7_2"}</definedName>
    <definedName name="hn.ExtDb" hidden="1">FALSE</definedName>
    <definedName name="hn.ModelType" hidden="1">"DEAL"</definedName>
    <definedName name="hn.ModelVersion" hidden="1">1</definedName>
    <definedName name="hn.NoUpload" hidden="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"c2108"</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AL_DIVIDEND" hidden="1">"c229"</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FAX" hidden="1">"c2100"</definedName>
    <definedName name="IQ_BOARD_MEMBER_OFFICE" hidden="1">"c2098"</definedName>
    <definedName name="IQ_BOARD_MEMBER_PHONE" hidden="1">"c2099"</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"c223"</definedName>
    <definedName name="IQ_BONDRATING_FITCH_DATE" hidden="1">"c241"</definedName>
    <definedName name="IQ_BONDRATING_SP" hidden="1">"c224"</definedName>
    <definedName name="IQ_BONDRATING_SP_DATE" hidden="1">"c242"</definedName>
    <definedName name="IQ_BOOK_VALUE" hidden="1">"c68"</definedName>
    <definedName name="IQ_BROK_COMISSION" hidden="1">"c98"</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INESS_DESCRIPTION" hidden="1">"c322"</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OVER_SHARES" hidden="1">"c1349"</definedName>
    <definedName name="IQ_BV_SHARE" hidden="1">"c100"</definedName>
    <definedName name="IQ_BV_STDDEV_EST_REUT" hidden="1">"c5408"</definedName>
    <definedName name="IQ_BV_STDDEV_EST_THOM" hidden="1">"c5152"</definedName>
    <definedName name="IQ_CAL_Q" hidden="1">"c101"</definedName>
    <definedName name="IQ_CAL_Y" hidden="1">"c102"</definedName>
    <definedName name="IQ_CALL_FEATURE" hidden="1">"c2197"</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UTSTANDING_BS_DATE" hidden="1">"c1971"</definedName>
    <definedName name="IQ_CLASSA_OUTSTANDING_FILING_DATE" hidden="1">"c1973"</definedName>
    <definedName name="IQ_CLASSB_OUTSTANDING_BS_DATE" hidden="1">"c1972"</definedName>
    <definedName name="IQ_CLASSB_OUTSTANDING_FILING_DATE" hidden="1">"c1974"</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TRACTS_OTHER_COMMODITIES_EQUITIES._FDIC" hidden="1">"c6522"</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RT_DEBT" hidden="1">"c224"</definedName>
    <definedName name="IQ_CONVEXITY" hidden="1">"c2182"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5000</definedName>
    <definedName name="IQ_CREDIT_CARD_FEE" hidden="1">"c231"</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 hidden="1">"c2801"</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K" hidden="1">"IQ_EBIT_10K"</definedName>
    <definedName name="IQ_EBIT_10Q" hidden="1">"IQ_EBIT_10Q"</definedName>
    <definedName name="IQ_EBIT_10Q1" hidden="1">"IQ_EBIT_10Q1"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GROWTH_1" hidden="1">"c157"</definedName>
    <definedName name="IQ_EBIT_GROWTH_2" hidden="1">"c161"</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GROWTH_1" hidden="1">"c156"</definedName>
    <definedName name="IQ_EBITDA_GROWTH_2" hidden="1">"c160"</definedName>
    <definedName name="IQ_EBITDA_INT" hidden="1">"c373"</definedName>
    <definedName name="IQ_EBITDA_MARGIN" hidden="1">"c372"</definedName>
    <definedName name="IQ_EBITDA_NO_EST" hidden="1">"c267"</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1" hidden="1">"c189"</definedName>
    <definedName name="IQ_EPS_HIGH_EST" hidden="1">"c400"</definedName>
    <definedName name="IQ_EPS_LOW_EST" hidden="1">"c401"</definedName>
    <definedName name="IQ_EPS_MEDIAN_EST" hidden="1">"c1661"</definedName>
    <definedName name="IQ_EPS_NO_EST" hidden="1">"c271"</definedName>
    <definedName name="IQ_EPS_NORM" hidden="1">"c1902"</definedName>
    <definedName name="IQ_EPS_NUM_EST" hidden="1">"c402"</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_REUT" hidden="1">"c5409"</definedName>
    <definedName name="IQ_EST_ACT_BV_THOM" hidden="1">"c5153"</definedName>
    <definedName name="IQ_EST_ACT_EPS" hidden="1">"c1648"</definedName>
    <definedName name="IQ_EST_ACT_EPS_PRIMARY" hidden="1">"c2232"</definedName>
    <definedName name="IQ_EST_ACT_FFO_REUT" hidden="1">"c3843"</definedName>
    <definedName name="IQ_EST_ACT_FFO_THOM" hidden="1">"c4005"</definedName>
    <definedName name="IQ_EST_ACT_NI_GW_THOM" hidden="1">"c5139"</definedName>
    <definedName name="IQ_EST_BV_DIFF_CIQ" hidden="1">"c4765"</definedName>
    <definedName name="IQ_EST_BV_DIFF_REUT" hidden="1">"c5433"</definedName>
    <definedName name="IQ_EST_BV_DIFF_THOM" hidden="1">"c5204"</definedName>
    <definedName name="IQ_EST_BV_SURPRISE_PERCENT_CIQ" hidden="1">"c4766"</definedName>
    <definedName name="IQ_EST_BV_SURPRISE_PERCENT_REUT" hidden="1">"c5434"</definedName>
    <definedName name="IQ_EST_BV_SURPRISE_PERCENT_THOM" hidden="1">"c5205"</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SURPRISE" hidden="1">"c1635"</definedName>
    <definedName name="IQ_EST_FFO_DIFF_REUT" hidden="1">"c3890"</definedName>
    <definedName name="IQ_EST_FFO_DIFF_THOM" hidden="1">"c5186"</definedName>
    <definedName name="IQ_EST_FFO_SURPRISE_PERCENT_REUT" hidden="1">"c3891"</definedName>
    <definedName name="IQ_EST_FFO_SURPRISE_PERCENT_THOM" hidden="1">"c5187"</definedName>
    <definedName name="IQ_EST_NI_GW_DIFF_THOM" hidden="1">"c5200"</definedName>
    <definedName name="IQ_EST_NI_GW_SURPRISE_PERCENT_THOM" hidden="1">"c5201"</definedName>
    <definedName name="IQ_EST_NUM_BUY_CIQ" hidden="1">"c3700"</definedName>
    <definedName name="IQ_EST_NUM_BUY_REUT" hidden="1">"c3869"</definedName>
    <definedName name="IQ_EST_NUM_BUY_THOM" hidden="1">"c5165"</definedName>
    <definedName name="IQ_EST_NUM_HOLD_CIQ" hidden="1">"c3702"</definedName>
    <definedName name="IQ_EST_NUM_HOLD_REUT" hidden="1">"c3871"</definedName>
    <definedName name="IQ_EST_NUM_HOLD_THOM" hidden="1">"c5167"</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"c165"</definedName>
    <definedName name="IQ_EV_OVER_REVENUE_EST_1" hidden="1">"c166"</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"000"</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EST_REUT" hidden="1">"c3837"</definedName>
    <definedName name="IQ_FFO_EST_THOM" hidden="1">"c3999"</definedName>
    <definedName name="IQ_FFO_HIGH_EST_REUT" hidden="1">"c3839"</definedName>
    <definedName name="IQ_FFO_HIGH_EST_THOM" hidden="1">"c4001"</definedName>
    <definedName name="IQ_FFO_LOW_EST_REUT" hidden="1">"c3840"</definedName>
    <definedName name="IQ_FFO_LOW_EST_THOM" hidden="1">"c4002"</definedName>
    <definedName name="IQ_FFO_MEDIAN_EST_REUT" hidden="1">"c3838"</definedName>
    <definedName name="IQ_FFO_MEDIAN_EST_THOM" hidden="1">"c4000"</definedName>
    <definedName name="IQ_FFO_NO_EST" hidden="1">"c276"</definedName>
    <definedName name="IQ_FFO_NUM_EST_REUT" hidden="1">"c3841"</definedName>
    <definedName name="IQ_FFO_NUM_EST_THOM" hidden="1">"c4003"</definedName>
    <definedName name="IQ_FFO_STDDEV_EST_REUT" hidden="1">"c3842"</definedName>
    <definedName name="IQ_FFO_STDDEV_EST_THOM" hidden="1">"c4004"</definedName>
    <definedName name="IQ_FH">100000</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SCAL_Q" hidden="1">"c440"</definedName>
    <definedName name="IQ_FISCAL_Y" hidden="1">"c441"</definedName>
    <definedName name="IQ_FIVE_PERCENT_AMOUNT" hidden="1">"c240"</definedName>
    <definedName name="IQ_FIVE_PERCENT_OWNER" hidden="1">"c442"</definedName>
    <definedName name="IQ_FIVEPERCENT_OWNER" hidden="1">"c239"</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 hidden="1">"c225"</definedName>
    <definedName name="IQ_FLOAT_PERCENT" hidden="1">"c1575"</definedName>
    <definedName name="IQ_FOREIGN_BRANCHES_U.S._BANKS_LOANS_FDIC" hidden="1">"c6438"</definedName>
    <definedName name="IQ_FOREIGN_DEP_IB" hidden="1">"c446"</definedName>
    <definedName name="IQ_FOREIGN_DEP_NON_IB" hidden="1">"c447"</definedName>
    <definedName name="IQ_FOREIGN_EXCHANGE" hidden="1">"c1376"</definedName>
    <definedName name="IQ_FOREIGN_LOANS" hidden="1">"c448"</definedName>
    <definedName name="IQ_FQ">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GW" hidden="1">"c519"</definedName>
    <definedName name="IQ_GROSS_INTAN" hidden="1">"c520"</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ROSS_SPRD" hidden="1">"c2155"</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OVER_TOTAL" hidden="1">"c1581"</definedName>
    <definedName name="IQ_INSIDER_OWNER" hidden="1">"c577"</definedName>
    <definedName name="IQ_INSIDER_PERCENT" hidden="1">"c578"</definedName>
    <definedName name="IQ_INSIDER_SHARES" hidden="1">"c579"</definedName>
    <definedName name="IQ_INSTITUTIONAL_AMOUNT" hidden="1">"c236"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LT_DEBT" hidden="1">"c2086"</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LAND" hidden="1">"c645"</definedName>
    <definedName name="IQ_LAST_EBIT_MARGIN" hidden="1">"c151"</definedName>
    <definedName name="IQ_LAST_EBITDA_MARGIN" hidden="1">"c150"</definedName>
    <definedName name="IQ_LAST_GROSS_MARGIN" hidden="1">"c149"</definedName>
    <definedName name="IQ_LAST_NET_INC_MARGIN" hidden="1">"c152"</definedName>
    <definedName name="IQ_LAST_PMT_DATE" hidden="1">"c2188"</definedName>
    <definedName name="IQ_LAST_SPLIT_DATE" hidden="1">"c2095"</definedName>
    <definedName name="IQ_LAST_SPLIT_FACTOR" hidden="1">"c2093"</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ISTING_CURRENCY" hidden="1">"c2127"</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DATE" hidden="1">"IQ_LTM_DATE"</definedName>
    <definedName name="IQ_LTM_REVENUE_OVER_EMPLOYEES" hidden="1">"c1437"</definedName>
    <definedName name="IQ_LTMMONTH" hidden="1">120000</definedName>
    <definedName name="IQ_MACHINERY" hidden="1">"c711"</definedName>
    <definedName name="IQ_MAINT_REPAIR" hidden="1">"c2087"</definedName>
    <definedName name="IQ_MARKET_CAP_LFCF" hidden="1">"c2209"</definedName>
    <definedName name="IQ_MARKETCAP" hidden="1">"c712"</definedName>
    <definedName name="IQ_MARKETING" hidden="1">"c2239"</definedName>
    <definedName name="IQ_MARKTCAP" hidden="1">"c258"</definedName>
    <definedName name="IQ_MATURITY_DATE" hidden="1">"c2146"</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"08/19/2025 15:06:22"</definedName>
    <definedName name="IQ_NAV_ACT_OR_EST" hidden="1">"c2225"</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"c158"</definedName>
    <definedName name="IQ_NET_INC_GROWTH_2" hidden="1">"c162"</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GW_EST_THOM" hidden="1">"c5133"</definedName>
    <definedName name="IQ_NI_GW_HIGH_EST_THOM" hidden="1">"c5135"</definedName>
    <definedName name="IQ_NI_GW_LOW_EST_THOM" hidden="1">"c5136"</definedName>
    <definedName name="IQ_NI_GW_MEDIAN_EST_THOM" hidden="1">"c5134"</definedName>
    <definedName name="IQ_NI_GW_NUM_EST_THOM" hidden="1">"c5137"</definedName>
    <definedName name="IQ_NI_GW_STDDEV_EST_THOM" hidden="1">"c5138"</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AILY_PRDUCTION_GROWTH_GAS" hidden="1">"c10073"</definedName>
    <definedName name="IQ_OG_DAILY_PRDUCTION_GROWTH_GAS_EQUIVALENT" hidden="1">"c10076"</definedName>
    <definedName name="IQ_OG_DAILY_PRDUCTION_GROWTH_NGL" hidden="1">"c10074"</definedName>
    <definedName name="IQ_OG_DAILY_PRDUCTION_GROWTH_OIL" hidden="1">"c10072"</definedName>
    <definedName name="IQ_OG_DAILY_PR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"c10067"</definedName>
    <definedName name="IQ_OG_PRDUCTION_GROWTH_GAS_EQUIVALENT" hidden="1">"c10070"</definedName>
    <definedName name="IQ_OG_PRDUCTION_GROWTH_NGL" hidden="1">"c10068"</definedName>
    <definedName name="IQ_OG_PRDUCTION_GROWTH_OIL" hidden="1">"c10066"</definedName>
    <definedName name="IQ_OG_PRDUCTION_GROWTH_OIL_EQUIVALENT" hidden="1">"c10069"</definedName>
    <definedName name="IQ_OG_PRDUCTION_GROWTH_TOAL" hidden="1">"c10071"</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ED" hidden="1">"c2116"</definedName>
    <definedName name="IQ_OPTIONS_ISSUED" hidden="1">"c857"</definedName>
    <definedName name="IQ_OPTIONS_OS" hidden="1">"c858"</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UTSTANDING_FILING_DATE_TOTAL" hidden="1">"c2107"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FLOAT" hidden="1">"c227"</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HARMBIO_NUMBER_PROD__APPROVED_DURING_PERIOD" hidden="1">"c10027"</definedName>
    <definedName name="IQ_PHARMBIO_NUMBER_PROD__CLINICAL_DEV" hidden="1">"c10022"</definedName>
    <definedName name="IQ_PHARMBIO_NUMBER_PROD__LAUNCHED_DURING_PERIOD" hidden="1">"c10028"</definedName>
    <definedName name="IQ_PHARMBIO_NUMBER_PROD__PHASE_I" hidden="1">"c10023"</definedName>
    <definedName name="IQ_PHARMBIO_NUMBER_PROD__PHASE_II" hidden="1">"c10024"</definedName>
    <definedName name="IQ_PHARMBIO_NUMBER_PROD__PHASE_III" hidden="1">"c10025"</definedName>
    <definedName name="IQ_PHARMBIO_NUMBER_PROD__PRE_CLINICAL_TRIALS" hidden="1">"c10021"</definedName>
    <definedName name="IQ_PHARMBIO_NUMBER_PROD__PRE_REGISTRATION" hidden="1">"c10026"</definedName>
    <definedName name="IQ_PHARMBIO_NUMBER_PROD__RESEARCH_DEV" hidden="1">"c10020"</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INC" hidden="1">"c16"</definedName>
    <definedName name="IQ_PRETAX_INC_10K" hidden="1">"IQ_PRETAX_INC_10K"</definedName>
    <definedName name="IQ_PRETAX_INC_10Q" hidden="1">"IQ_PRETAX_INC_10Q"</definedName>
    <definedName name="IQ_PRETAX_INC_10Q1" hidden="1">"IQ_PRETAX_INC_10Q1"</definedName>
    <definedName name="IQ_PRICE_OVER_BVPS" hidden="1">"c1412"</definedName>
    <definedName name="IQ_PRICE_OVER_EPS_EST" hidden="1">"c174"</definedName>
    <definedName name="IQ_PRICE_OVER_EPS_EST_1" hidden="1">"c175"</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EPS_TYPE_THOM" hidden="1">"c5297"</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EST" hidden="1">"IQ_REVENUE_EST"</definedName>
    <definedName name="IQ_REVENUE_EST_1" hidden="1">"c190"</definedName>
    <definedName name="IQ_REVENUE_GROWTH_1" hidden="1">"c155"</definedName>
    <definedName name="IQ_REVENUE_GROWTH_2" hidden="1">"c159"</definedName>
    <definedName name="IQ_REVENUE_NO_EST" hidden="1">"c263"</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ISSUE_LC_ACTION" hidden="1">"c2644"</definedName>
    <definedName name="IQ_SP_ISSUE_LC_DATE" hidden="1">"c2643"</definedName>
    <definedName name="IQ_SP_ISSUE_LC_LT" hidden="1">"c2645"</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TW" hidden="1">"c2166"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LASTCLOSE" hidden="1">"c1855"</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DUE" hidden="1">"c2509"</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"c1522"</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_BUY_ADVISORS" hidden="1">"c2387"</definedName>
    <definedName name="IQ_TR_SELL_ADVISORS" hidden="1">"c2388"</definedName>
    <definedName name="IQ_TR_SUBDEBT" hidden="1">"c2370"</definedName>
    <definedName name="IQ_TR_TARGET_ADVISORS" hidden="1">"c2386"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S_GAAP_CA" hidden="1">"c2930"</definedName>
    <definedName name="IQ_US_GAAP_CL" hidden="1">"c2932"</definedName>
    <definedName name="IQ_US_GAAP_COST_REV" hidden="1">"c2965"</definedName>
    <definedName name="IQ_US_GAAP_DO" hidden="1">"c2973"</definedName>
    <definedName name="IQ_US_GAAP_EXTRA_ACC_ITEMS" hidden="1">"c2972"</definedName>
    <definedName name="IQ_US_GAAP_INC_TAX" hidden="1">"c2975"</definedName>
    <definedName name="IQ_US_GAAP_INTEREST_EXP" hidden="1">"c2971"</definedName>
    <definedName name="IQ_US_GAAP_LIAB_LT" hidden="1">"c2933"</definedName>
    <definedName name="IQ_US_GAAP_MINORITY_INTEREST_IS" hidden="1">"c2974"</definedName>
    <definedName name="IQ_US_GAAP_NCA" hidden="1">"c2931"</definedName>
    <definedName name="IQ_US_GAAP_NI_AVAIL_EXCL" hidden="1">"c2977"</definedName>
    <definedName name="IQ_US_GAAP_OTHER_NON_OPER" hidden="1">"c2969"</definedName>
    <definedName name="IQ_US_GAAP_OTHER_OPER" hidden="1">"c2968"</definedName>
    <definedName name="IQ_US_GAAP_RD" hidden="1">"c2967"</definedName>
    <definedName name="IQ_US_GAAP_SGA" hidden="1">"c2966"</definedName>
    <definedName name="IQ_US_GAAP_TOTAL_REV" hidden="1">"c2964"</definedName>
    <definedName name="IQ_US_GAAP_TOTAL_UNUSUAL" hidden="1">"c2970"</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EK">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0</definedName>
    <definedName name="IQB_BOOKMARK_LOCATION_0" hidden="1">#REF!</definedName>
    <definedName name="IQB_BOOKMARK_LOCATION_1" hidden="1">#REF!</definedName>
    <definedName name="IQB_BOOKMARK_LOCATION_2" hidden="1">#REF!</definedName>
    <definedName name="IQRA1" hidden="1">"$A$2:$A$6"</definedName>
    <definedName name="IQRA11" hidden="1">"$A$12:$A$14"</definedName>
    <definedName name="IQRA12" hidden="1">"$A$13:$A$34"</definedName>
    <definedName name="IQRA13" hidden="1">"$A$14:$A$113"</definedName>
    <definedName name="IQRA14" hidden="1">"$A$15:$A$19"</definedName>
    <definedName name="IQRA15" hidden="1">"$A$16:$A$18"</definedName>
    <definedName name="IQRA16" hidden="1">"$A$17:$A$38"</definedName>
    <definedName name="IQRA17" hidden="1">"$A$18:$A$45"</definedName>
    <definedName name="IQRA19" hidden="1">"$A$20:$A$41"</definedName>
    <definedName name="IQRA22" hidden="1">"$A$23:$A$44"</definedName>
    <definedName name="IQRA23" hidden="1">"$A$24:$A$275"</definedName>
    <definedName name="IQRA24" hidden="1">"$A$25:$A$276"</definedName>
    <definedName name="IQRA25" hidden="1">"$A$26:$A$35"</definedName>
    <definedName name="IQRA26" hidden="1">"$A$27:$A$36"</definedName>
    <definedName name="IQRA27" hidden="1">"$A$28:$A$37"</definedName>
    <definedName name="IQRA28" hidden="1">"$A$29:$A$38"</definedName>
    <definedName name="IQRA29" hidden="1">"$A$30:$A$62"</definedName>
    <definedName name="IQRA3" hidden="1">"$A$4:$A$14"</definedName>
    <definedName name="IQRA30" hidden="1">"$A$31:$A$40"</definedName>
    <definedName name="IQRA31" hidden="1">"$A$32:$A$41"</definedName>
    <definedName name="IQRA33" hidden="1">"$A$34:$A$55"</definedName>
    <definedName name="IQRA4" hidden="1">"$A$5:$A$12"</definedName>
    <definedName name="IQRA43" hidden="1">"$A$44:$A$46"</definedName>
    <definedName name="IQRA48" hidden="1">"$A$49:$A$58"</definedName>
    <definedName name="IQRA5" hidden="1">"$A$6:$A$104"</definedName>
    <definedName name="IQRA6" hidden="1">"$A$7:$A$11"</definedName>
    <definedName name="IQRA62" hidden="1">"$A$63:$A$72"</definedName>
    <definedName name="IQRA64" hidden="1">"$A$65:$A$67"</definedName>
    <definedName name="IQRA68" hidden="1">"$A$69:$A$78"</definedName>
    <definedName name="IQRA69" hidden="1">"$A$70:$A$72"</definedName>
    <definedName name="IQRA7" hidden="1">"$A$8:$A$13"</definedName>
    <definedName name="IQRA70" hidden="1">"$A$71"</definedName>
    <definedName name="IQRA71" hidden="1">"$A$72"</definedName>
    <definedName name="IQRA72" hidden="1">"$A$73:$A$82"</definedName>
    <definedName name="IQRA73" hidden="1">"$A$74:$A$83"</definedName>
    <definedName name="IQRA74" hidden="1">"$A$75:$A$84"</definedName>
    <definedName name="IQRA8" hidden="1">"$A$9:$A$69"</definedName>
    <definedName name="IQRA81" hidden="1">"$A$82:$A$83"</definedName>
    <definedName name="IQRA82" hidden="1">"$A$83:$A$84"</definedName>
    <definedName name="IQRA84" hidden="1">"$A$85:$A$86"</definedName>
    <definedName name="IQRA88" hidden="1">"$A$89:$A$112"</definedName>
    <definedName name="IQRA9" hidden="1">"$A$10:$A$514"</definedName>
    <definedName name="IQRAA14" hidden="1">"$AA$15:$AA$114"</definedName>
    <definedName name="IQRAB14" hidden="1">#REF!</definedName>
    <definedName name="IQRAB6" hidden="1">"$AB$7:$AB$273"</definedName>
    <definedName name="IQRAD14" hidden="1">#REF!</definedName>
    <definedName name="IQRAE14" hidden="1">#REF!</definedName>
    <definedName name="IQRAE8" hidden="1">"$AE$9:$AE$18"</definedName>
    <definedName name="IQRAE9" hidden="1">"$AE$10:$AE$262"</definedName>
    <definedName name="IQRAF11" hidden="1">"$AF$12:$AF$262"</definedName>
    <definedName name="IQRAF14" hidden="1">#REF!</definedName>
    <definedName name="IQRAF17" hidden="1">"$AF$18:$AF$268"</definedName>
    <definedName name="IQRAF8" hidden="1">"$AF$9:$AF$261"</definedName>
    <definedName name="IQRAF9" hidden="1">"$AF$10:$AF$260"</definedName>
    <definedName name="IQRAG14" hidden="1">#REF!</definedName>
    <definedName name="IQRAG2" hidden="1">"$AH$2:$AO$2"</definedName>
    <definedName name="IQRAG9" hidden="1">"$AG$10:$AG$260"</definedName>
    <definedName name="IQRAI14" hidden="1">#REF!</definedName>
    <definedName name="IQRAI15" hidden="1">"$AI$16:$AI$39"</definedName>
    <definedName name="IQRAJ14" hidden="1">#REF!</definedName>
    <definedName name="IQRAK14" hidden="1">#REF!</definedName>
    <definedName name="IQRAL14" hidden="1">#REF!</definedName>
    <definedName name="IQRAN15" hidden="1">"$AN$16:$AN$519"</definedName>
    <definedName name="IQRAO9" hidden="1">"$AO$10:$AO$30"</definedName>
    <definedName name="IQRAQ2" hidden="1">"$AQ$3:$AQ$22"</definedName>
    <definedName name="IQRAQ9" hidden="1">"$AQ$10:$AQ$260"</definedName>
    <definedName name="IQRAS14" hidden="1">#REF!</definedName>
    <definedName name="IQRAT14" hidden="1">#REF!</definedName>
    <definedName name="IQRAT6" hidden="1">"$AT$7:$AT$14"</definedName>
    <definedName name="IQRAU14" hidden="1">#REF!</definedName>
    <definedName name="IQRAU6" hidden="1">"$AU$7:$AU$19"</definedName>
    <definedName name="IQRAV14" hidden="1">#REF!</definedName>
    <definedName name="IQRAV6" hidden="1">"$AV$7:$AV$29"</definedName>
    <definedName name="IQRAW6" hidden="1">"$AW$7:$AW$20"</definedName>
    <definedName name="IQRAX14" hidden="1">#REF!</definedName>
    <definedName name="IQRAX6" hidden="1">"$AX$7:$AX$19"</definedName>
    <definedName name="IQRAY14" hidden="1">#REF!</definedName>
    <definedName name="IQRAY6" hidden="1">"$AY$7:$AY$10"</definedName>
    <definedName name="IQRAZ14" hidden="1">#REF!</definedName>
    <definedName name="IQRAZ6" hidden="1">"$AZ$7:$AZ$12"</definedName>
    <definedName name="IQRB1" hidden="1">"$B$2:$B$6"</definedName>
    <definedName name="IQRB11" hidden="1">"$B$12:$B$36"</definedName>
    <definedName name="IQRB12" hidden="1">"$B$13:$B$31"</definedName>
    <definedName name="IQRB13" hidden="1">"$B$14:$B$15"</definedName>
    <definedName name="IQRB14" hidden="1">"$B$15:$B$21"</definedName>
    <definedName name="IQRB15" hidden="1">"$B$16:$B$17"</definedName>
    <definedName name="IQRB16" hidden="1">"$B$17:$B$32"</definedName>
    <definedName name="IQRB17" hidden="1">"$B$18:$B$38"</definedName>
    <definedName name="IQRB18" hidden="1">"$B$19:$B$23"</definedName>
    <definedName name="IQRB2" hidden="1">"$C$2:$I$2"</definedName>
    <definedName name="IQRB21" hidden="1">"$B$22:$B$42"</definedName>
    <definedName name="IQRB23" hidden="1">"$B$24:$B$275"</definedName>
    <definedName name="IQRB24" hidden="1">"$B$25:$B$276"</definedName>
    <definedName name="IQRB27" hidden="1">"$B$28:$B$42"</definedName>
    <definedName name="IQRB28" hidden="1">"$B$29:$B$33"</definedName>
    <definedName name="IQRB29" hidden="1">"$B$30:$B$44"</definedName>
    <definedName name="IQRB3" hidden="1">"$B$4:$B$11"</definedName>
    <definedName name="IQRB4" hidden="1">"$B$5:$B$29"</definedName>
    <definedName name="IQRB5" hidden="1">"$B$6:$B$10"</definedName>
    <definedName name="IQRB6" hidden="1">"$B$7:$B$16"</definedName>
    <definedName name="IQRB7" hidden="1">"$B$8:$B$13"</definedName>
    <definedName name="IQRB8" hidden="1">"$B$9:$B$174"</definedName>
    <definedName name="IQRB9" hidden="1">"$B$10:$B$14"</definedName>
    <definedName name="IQRBA14" hidden="1">#REF!</definedName>
    <definedName name="IQRBA6" hidden="1">"$BA$7:$BA$13"</definedName>
    <definedName name="IQRBB6" hidden="1">"$BB$7:$BB$11"</definedName>
    <definedName name="IQRBC14" hidden="1">#REF!</definedName>
    <definedName name="IQRBC6" hidden="1">"$BC$7:$BC$13"</definedName>
    <definedName name="IQRBD14" hidden="1">#REF!</definedName>
    <definedName name="IQRBD6" hidden="1">"$BD$7:$BD$15"</definedName>
    <definedName name="IQRBE14" hidden="1">#REF!</definedName>
    <definedName name="IQRBE6" hidden="1">"$BE$7:$BE$15"</definedName>
    <definedName name="IQRBF14" hidden="1">#REF!</definedName>
    <definedName name="IQRBF6" hidden="1">"$BF$7:$BF$10"</definedName>
    <definedName name="IQRBG6" hidden="1">"$BG$7"</definedName>
    <definedName name="IQRBH14" hidden="1">#REF!</definedName>
    <definedName name="IQRBH6" hidden="1">"$BH$7"</definedName>
    <definedName name="IQRBI14" hidden="1">#REF!</definedName>
    <definedName name="IQRBJ14" hidden="1">#REF!</definedName>
    <definedName name="IQRBK14" hidden="1">#REF!</definedName>
    <definedName name="IQRBM14" hidden="1">#REF!</definedName>
    <definedName name="IQRBN14" hidden="1">#REF!</definedName>
    <definedName name="IQRBO14" hidden="1">#REF!</definedName>
    <definedName name="IQRBP14" hidden="1">#REF!</definedName>
    <definedName name="IQRBR14" hidden="1">#REF!</definedName>
    <definedName name="IQRBS14" hidden="1">#REF!</definedName>
    <definedName name="IQRBT14" hidden="1">#REF!</definedName>
    <definedName name="IQRBU14" hidden="1">#REF!</definedName>
    <definedName name="IQRBW14" hidden="1">#REF!</definedName>
    <definedName name="IQRBX14" hidden="1">#REF!</definedName>
    <definedName name="IQRBY14" hidden="1">#REF!</definedName>
    <definedName name="IQRBZ14" hidden="1">#REF!</definedName>
    <definedName name="IQRC1" hidden="1">"$C$2:$C$3"</definedName>
    <definedName name="IQRC10" hidden="1">"$C$11:$C$20"</definedName>
    <definedName name="IQRC11" hidden="1">"$C$12:$C$180"</definedName>
    <definedName name="IQRC12" hidden="1">"$C$13:$C$181"</definedName>
    <definedName name="IQRC124" hidden="1">"$C$125"</definedName>
    <definedName name="IQRC13" hidden="1">"$C$14:$C$15"</definedName>
    <definedName name="IQRC14" hidden="1">"$C$15:$C$19"</definedName>
    <definedName name="IQRC15" hidden="1">"$C$16:$C$25"</definedName>
    <definedName name="IQRC18" hidden="1">"$C$19:$C$23"</definedName>
    <definedName name="IQRC19" hidden="1">"$C$20:$C$24"</definedName>
    <definedName name="IQRC2" hidden="1">"$C$3"</definedName>
    <definedName name="IQRC20" hidden="1">"$C$21:$C$41"</definedName>
    <definedName name="IQRC21" hidden="1">"$C$22:$C$26"</definedName>
    <definedName name="IQRC23" hidden="1">"$C$24:$C$43"</definedName>
    <definedName name="IQRC25" hidden="1">"$C$26:$C$35"</definedName>
    <definedName name="IQRC26" hidden="1">"$C$27:$C$36"</definedName>
    <definedName name="IQRC27" hidden="1">"$C$28:$C$37"</definedName>
    <definedName name="IQRC28" hidden="1">"$C$29:$C$280"</definedName>
    <definedName name="IQRC29" hidden="1">"$C$30"</definedName>
    <definedName name="IQRC3" hidden="1">"$C$4:$C$11"</definedName>
    <definedName name="IQRC30" hidden="1">"$C$31:$C$40"</definedName>
    <definedName name="IQRC31" hidden="1">"$C$32:$C$41"</definedName>
    <definedName name="IQRC38" hidden="1">"$C$39:$C$207"</definedName>
    <definedName name="IQRC4" hidden="1">"$C$5:$C$12"</definedName>
    <definedName name="IQRC43" hidden="1">"$C$44:$C$64"</definedName>
    <definedName name="IQRC47" hidden="1">"$C$48:$C$68"</definedName>
    <definedName name="IQRC48" hidden="1">"$C$49:$C$58"</definedName>
    <definedName name="IQRC5" hidden="1">"$C$6:$C$10"</definedName>
    <definedName name="IQRC50" hidden="1">"$C$51:$C$72"</definedName>
    <definedName name="IQRC6" hidden="1">"$C$7:$C$135"</definedName>
    <definedName name="IQRC60" hidden="1">"$C$61:$C$82"</definedName>
    <definedName name="IQRC62" hidden="1">"$C$63:$C$72"</definedName>
    <definedName name="IQRC7" hidden="1">"$C$8:$C$13"</definedName>
    <definedName name="IQRC8" hidden="1">"$C$9:$C$16"</definedName>
    <definedName name="IQRC9" hidden="1">"$C$10:$C$14"</definedName>
    <definedName name="IQRC90" hidden="1">"$C$91:$C$114"</definedName>
    <definedName name="IQRCB14" hidden="1">#REF!</definedName>
    <definedName name="IQRCC14" hidden="1">#REF!</definedName>
    <definedName name="IQRCD14" hidden="1">#REF!</definedName>
    <definedName name="IQRCE14" hidden="1">#REF!</definedName>
    <definedName name="IQRCG14" hidden="1">#REF!</definedName>
    <definedName name="IQRCH14" hidden="1">#REF!</definedName>
    <definedName name="IQRCI14" hidden="1">#REF!</definedName>
    <definedName name="IQRCJ14" hidden="1">#REF!</definedName>
    <definedName name="IQRCL14" hidden="1">#REF!</definedName>
    <definedName name="IQRCM14" hidden="1">#REF!</definedName>
    <definedName name="IQRCN14" hidden="1">#REF!</definedName>
    <definedName name="IQRCO14" hidden="1">#REF!</definedName>
    <definedName name="IQRCompsB4" hidden="1">#REF!</definedName>
    <definedName name="IQRConstituentsC15" hidden="1">#REF!</definedName>
    <definedName name="IQRConstituentsF15" hidden="1">#REF!</definedName>
    <definedName name="IQRConstituentsI15" hidden="1">#REF!</definedName>
    <definedName name="IQRCQ14" hidden="1">#REF!</definedName>
    <definedName name="IQRCR14" hidden="1">#REF!</definedName>
    <definedName name="IQRCS14" hidden="1">#REF!</definedName>
    <definedName name="IQRCT14" hidden="1">#REF!</definedName>
    <definedName name="IQRCV14" hidden="1">#REF!</definedName>
    <definedName name="IQRCW14" hidden="1">#REF!</definedName>
    <definedName name="IQRCWTE5" hidden="1">#REF!</definedName>
    <definedName name="IQRCWTF5" hidden="1">#REF!</definedName>
    <definedName name="IQRCWTG5" hidden="1">#REF!</definedName>
    <definedName name="IQRCWTH5" hidden="1">#REF!</definedName>
    <definedName name="IQRCWTJ3" hidden="1">#REF!</definedName>
    <definedName name="IQRCWTN7" hidden="1">#REF!</definedName>
    <definedName name="IQRCWTO7" hidden="1">#REF!</definedName>
    <definedName name="IQRCX14" hidden="1">#REF!</definedName>
    <definedName name="IQRCY14" hidden="1">#REF!</definedName>
    <definedName name="IQRD1" hidden="1">"$D$2:$D$7"</definedName>
    <definedName name="IQRD10" hidden="1">"$D$11:$D$176"</definedName>
    <definedName name="IQRD11" hidden="1">"$D$12:$D$40"</definedName>
    <definedName name="IQRD12" hidden="1">"$D$13:$D$181"</definedName>
    <definedName name="IQRD13" hidden="1">"$D$14:$D$35"</definedName>
    <definedName name="IQRD14" hidden="1">"$D$15:$D$19"</definedName>
    <definedName name="IQRD15" hidden="1">"$D$16:$D$17"</definedName>
    <definedName name="IQRD16" hidden="1">"$D$17:$D$182"</definedName>
    <definedName name="IQRD17" hidden="1">"$D$18:$D$33"</definedName>
    <definedName name="IQRD21" hidden="1">"$D$22:$D$42"</definedName>
    <definedName name="IQRD23" hidden="1">"$D$24:$D$44"</definedName>
    <definedName name="IQRD24" hidden="1">"$D$25"</definedName>
    <definedName name="IQRD25" hidden="1">"$D$26:$D$35"</definedName>
    <definedName name="IQRD26" hidden="1">"$D$27:$D$47"</definedName>
    <definedName name="IQRD27" hidden="1">"$D$28:$D$37"</definedName>
    <definedName name="IQRD28" hidden="1">"$D$29:$D$280"</definedName>
    <definedName name="IQRD3" hidden="1">"$D$4:$D$11"</definedName>
    <definedName name="IQRD30" hidden="1">"$D$31:$D$40"</definedName>
    <definedName name="IQRD4" hidden="1">#REF!</definedName>
    <definedName name="IQRD5" hidden="1">#REF!</definedName>
    <definedName name="IQRD6" hidden="1">"$D$7:$D$58"</definedName>
    <definedName name="IQRD7" hidden="1">"$D$8:$D$13"</definedName>
    <definedName name="IQRD8" hidden="1">"$D$9:$D$16"</definedName>
    <definedName name="IQRD9" hidden="1">"$D$10:$D$14"</definedName>
    <definedName name="IQRDCFBF10" hidden="1">#REF!</definedName>
    <definedName name="IQRDCFBN10" hidden="1">#REF!</definedName>
    <definedName name="IQRE1" hidden="1">"$E$2:$E$7"</definedName>
    <definedName name="IQRE10" hidden="1">#REF!</definedName>
    <definedName name="IQRE11" hidden="1">#REF!</definedName>
    <definedName name="IQRE12" hidden="1">#REF!</definedName>
    <definedName name="IQRE13" hidden="1">#REF!</definedName>
    <definedName name="IQRE14" hidden="1">#REF!</definedName>
    <definedName name="IQRE15" hidden="1">#REF!</definedName>
    <definedName name="IQRE16" hidden="1">#REF!</definedName>
    <definedName name="IQRE17" hidden="1">#REF!</definedName>
    <definedName name="IQRE18" hidden="1">#REF!</definedName>
    <definedName name="IQRE19" hidden="1">#REF!</definedName>
    <definedName name="IQRE21" hidden="1">"$E$22:$E$26"</definedName>
    <definedName name="IQRE26" hidden="1">"$E$27:$E$36"</definedName>
    <definedName name="IQRE27" hidden="1">"$E$28:$E$42"</definedName>
    <definedName name="IQRE3" hidden="1">#REF!</definedName>
    <definedName name="IQRE31" hidden="1">"$E$32:$E$41"</definedName>
    <definedName name="IQRE4" hidden="1">#REF!</definedName>
    <definedName name="IQRE5" hidden="1">#REF!</definedName>
    <definedName name="IQRE6" hidden="1">#REF!</definedName>
    <definedName name="IQRE7" hidden="1">#REF!</definedName>
    <definedName name="IQRE8" hidden="1">#REF!</definedName>
    <definedName name="IQRE84" hidden="1">"$E$85:$E$86"</definedName>
    <definedName name="IQRE9" hidden="1">#REF!</definedName>
    <definedName name="IQREventsD13" hidden="1">#REF!</definedName>
    <definedName name="IQRF10" hidden="1">"$F$11:$F$15"</definedName>
    <definedName name="IQRF11" hidden="1">"$F$12:$F$21"</definedName>
    <definedName name="IQRF12" hidden="1">"$F$13:$F$14"</definedName>
    <definedName name="IQRF13" hidden="1">"$F$14:$F$18"</definedName>
    <definedName name="IQRF14" hidden="1">"$F$15:$F$19"</definedName>
    <definedName name="IQRF15" hidden="1">"$F$16:$F$25"</definedName>
    <definedName name="IQRF21" hidden="1">"$F$22:$F$26"</definedName>
    <definedName name="IQRF26" hidden="1">"$F$27:$F$36"</definedName>
    <definedName name="IQRF28" hidden="1">"$F$29:$F$38"</definedName>
    <definedName name="IQRF3" hidden="1">"$F$4:$F$11"</definedName>
    <definedName name="IQRF31" hidden="1">"$F$32:$F$41"</definedName>
    <definedName name="IQRF5" hidden="1">"$F$6:$F$104"</definedName>
    <definedName name="IQRF7" hidden="1">"$F$8:$F$13"</definedName>
    <definedName name="IQRF8" hidden="1">"$F$9:$F$16"</definedName>
    <definedName name="IQRF9" hidden="1">"$F$10:$F$14"</definedName>
    <definedName name="IQRG10" hidden="1">"$G$11:$G$15"</definedName>
    <definedName name="IQRG11" hidden="1">"$G$12:$G$16"</definedName>
    <definedName name="IQRG12" hidden="1">"$G$13:$G$17"</definedName>
    <definedName name="IQRG13" hidden="1">"$G$14:$G$18"</definedName>
    <definedName name="IQRG14" hidden="1">"$G$15:$G$19"</definedName>
    <definedName name="IQRG15" hidden="1">"$G$16:$G$17"</definedName>
    <definedName name="IQRG21" hidden="1">"$G$22:$G$26"</definedName>
    <definedName name="IQRG3" hidden="1">"$G$4:$G$11"</definedName>
    <definedName name="IQRG38" hidden="1">"$G$39:$G$207"</definedName>
    <definedName name="IQRG43" hidden="1">"$G$44:$G$64"</definedName>
    <definedName name="IQRG50" hidden="1">"$G$51:$G$72"</definedName>
    <definedName name="IQRG6" hidden="1">"$G$7:$G$11"</definedName>
    <definedName name="IQRG60" hidden="1">"$G$61:$G$82"</definedName>
    <definedName name="IQRG7" hidden="1">"$G$8:$G$13"</definedName>
    <definedName name="IQRG8" hidden="1">"$G$9:$G$16"</definedName>
    <definedName name="IQRG9" hidden="1">"$G$10:$G$14"</definedName>
    <definedName name="IQRH10" hidden="1">"$H$11:$H$15"</definedName>
    <definedName name="IQRH11" hidden="1">"$H$12:$H$16"</definedName>
    <definedName name="IQRH12" hidden="1">"$I$12:$M$12"</definedName>
    <definedName name="IQRH13" hidden="1">"$H$14:$H$18"</definedName>
    <definedName name="IQRH14" hidden="1">"$I$14"</definedName>
    <definedName name="IQRH15" hidden="1">"$I$15:$M$15"</definedName>
    <definedName name="IQRH16" hidden="1">"$I$16:$M$16"</definedName>
    <definedName name="IQRH17" hidden="1">"$I$17:$M$17"</definedName>
    <definedName name="IQRH18" hidden="1">"$I$18:$M$18"</definedName>
    <definedName name="IQRH19" hidden="1">"$I$19:$M$19"</definedName>
    <definedName name="IQRH20" hidden="1">"$I$20:$M$20"</definedName>
    <definedName name="IQRH21" hidden="1">"$H$22:$H$26"</definedName>
    <definedName name="IQRH22" hidden="1">"$I$22"</definedName>
    <definedName name="IQRH23" hidden="1">"$I$23"</definedName>
    <definedName name="IQRH24" hidden="1">"$I$24"</definedName>
    <definedName name="IQRH25" hidden="1">"$I$25"</definedName>
    <definedName name="IQRH26" hidden="1">"$I$26"</definedName>
    <definedName name="IQRH27" hidden="1">"$I$27"</definedName>
    <definedName name="IQRH28" hidden="1">"$I$28"</definedName>
    <definedName name="IQRH29" hidden="1">"$I$29"</definedName>
    <definedName name="IQRH3" hidden="1">"$H$4:$H$11"</definedName>
    <definedName name="IQRH30" hidden="1">"$I$30"</definedName>
    <definedName name="IQRH31" hidden="1">"$I$31"</definedName>
    <definedName name="IQRH39" hidden="1">"$H$40:$H$61"</definedName>
    <definedName name="IQRH62" hidden="1">"$H$63:$H$72"</definedName>
    <definedName name="IQRH64" hidden="1">"$H$65:$H$67"</definedName>
    <definedName name="IQRH68" hidden="1">"$H$69:$H$78"</definedName>
    <definedName name="IQRH69" hidden="1">"$H$70:$H$72"</definedName>
    <definedName name="IQRH7" hidden="1">"$H$8:$H$13"</definedName>
    <definedName name="IQRH70" hidden="1">"$H$71:$H$73"</definedName>
    <definedName name="IQRH71" hidden="1">"$H$72:$H$81"</definedName>
    <definedName name="IQRH72" hidden="1">"$H$73:$H$82"</definedName>
    <definedName name="IQRH73" hidden="1">"$H$74:$H$83"</definedName>
    <definedName name="IQRH74" hidden="1">"$H$75:$H$84"</definedName>
    <definedName name="IQRH8" hidden="1">"$I$8:$M$8"</definedName>
    <definedName name="IQRH84" hidden="1">"$H$85:$H$86"</definedName>
    <definedName name="IQRH9" hidden="1">"$H$10:$H$14"</definedName>
    <definedName name="IQRI11" hidden="1">"$I$12:$I$15"</definedName>
    <definedName name="IQRI12" hidden="1">"$I$13:$I$20"</definedName>
    <definedName name="IQRI13" hidden="1">"$I$14:$I$18"</definedName>
    <definedName name="IQRI14" hidden="1">"$I$15:$I$19"</definedName>
    <definedName name="IQRI15" hidden="1">"$I$16:$I$25"</definedName>
    <definedName name="IQRI21" hidden="1">"$I$22:$I$26"</definedName>
    <definedName name="IQRI26" hidden="1">"$I$27:$I$30"</definedName>
    <definedName name="IQRI28" hidden="1">"$I$29:$I$38"</definedName>
    <definedName name="IQRI3" hidden="1">"$I$4:$I$11"</definedName>
    <definedName name="IQRI38" hidden="1">"$I$39:$I$43"</definedName>
    <definedName name="IQRI41" hidden="1">"$I$42:$I$45"</definedName>
    <definedName name="IQRI5" hidden="1">#REF!</definedName>
    <definedName name="IQRI60" hidden="1">"$I$61:$I$65"</definedName>
    <definedName name="IQRI7" hidden="1">"$I$8:$I$13"</definedName>
    <definedName name="IQRI84" hidden="1">"$I$85:$I$86"</definedName>
    <definedName name="IQRI9" hidden="1">"$I$10:$I$14"</definedName>
    <definedName name="IQRIntrotoRangeI11" hidden="1">#REF!</definedName>
    <definedName name="IQRIntrotoRangeI26" hidden="1">#REF!</definedName>
    <definedName name="IQRIntrotoRangeI41" hidden="1">#REF!</definedName>
    <definedName name="IQRIntrotoRangeK26" hidden="1">#REF!</definedName>
    <definedName name="IQRIntrotoRangeK41" hidden="1">#REF!</definedName>
    <definedName name="IQRInvestorListMDG3" hidden="1">#REF!</definedName>
    <definedName name="IQRJ10" hidden="1">#REF!</definedName>
    <definedName name="IQRJ11" hidden="1">"$J$12:$J$16"</definedName>
    <definedName name="IQRJ12" hidden="1">"$J$13:$J$14"</definedName>
    <definedName name="IQRJ13" hidden="1">"$J$14:$J$18"</definedName>
    <definedName name="IQRJ14" hidden="1">"$J$15:$J$19"</definedName>
    <definedName name="IQRJ15" hidden="1">"$J$16:$J$17"</definedName>
    <definedName name="IQRJ17" hidden="1">"$J$18:$J$22"</definedName>
    <definedName name="IQRJ26" hidden="1">"$J$27:$J$31"</definedName>
    <definedName name="IQRJ28" hidden="1">"$J$29:$J$30"</definedName>
    <definedName name="IQRJ30" hidden="1">"$J$31:$J$35"</definedName>
    <definedName name="IQRJ4" hidden="1">"$J$5:$J$9"</definedName>
    <definedName name="IQRJ41" hidden="1">"$J$42:$J$46"</definedName>
    <definedName name="IQRJ5" hidden="1">"$J$6:$J$29"</definedName>
    <definedName name="IQRJ56" hidden="1">"$J$57:$J$60"</definedName>
    <definedName name="IQRJ7" hidden="1">#REF!</definedName>
    <definedName name="IQRJ84" hidden="1">"$J$85:$J$86"</definedName>
    <definedName name="IQRK10" hidden="1">"$K$11"</definedName>
    <definedName name="IQRK12" hidden="1">"$K$13:$K$31"</definedName>
    <definedName name="IQRK13" hidden="1">"$K$14:$K$18"</definedName>
    <definedName name="IQRK14" hidden="1">"$K$15:$K$19"</definedName>
    <definedName name="IQRK24" hidden="1">"$K$25:$K$608"</definedName>
    <definedName name="IQRK26" hidden="1">"$K$27:$K$30"</definedName>
    <definedName name="IQRK28" hidden="1">"$K$29:$K$30"</definedName>
    <definedName name="IQRK30" hidden="1">"$K$31:$K$35"</definedName>
    <definedName name="IQRK31" hidden="1">"$K$32:$K$36"</definedName>
    <definedName name="IQRK38" hidden="1">"$K$39:$K$62"</definedName>
    <definedName name="IQRK41" hidden="1">"$K$42:$K$45"</definedName>
    <definedName name="IQRK66" hidden="1">"$K$67:$K$69"</definedName>
    <definedName name="IQRK7" hidden="1">"$K$8:$K$130"</definedName>
    <definedName name="IQRK8" hidden="1">"$K$9:$K$174"</definedName>
    <definedName name="IQRK84" hidden="1">"$K$85:$K$86"</definedName>
    <definedName name="IQRKeyDevsD24" hidden="1">#REF!</definedName>
    <definedName name="IQRL104" hidden="1">"$L$105:$L$109"</definedName>
    <definedName name="IQRL12" hidden="1">"$L$13:$L$31"</definedName>
    <definedName name="IQRL13" hidden="1">"$L$14:$L$18"</definedName>
    <definedName name="IQRL14" hidden="1">"$L$15:$L$19"</definedName>
    <definedName name="IQRL17" hidden="1">"$L$18:$L$20"</definedName>
    <definedName name="IQRL27" hidden="1">"$L$28:$L$529"</definedName>
    <definedName name="IQRL3" hidden="1">"$M$3:$R$3"</definedName>
    <definedName name="IQRL38" hidden="1">"$L$39:$L$41"</definedName>
    <definedName name="IQRL4" hidden="1">"$M$4:$R$4"</definedName>
    <definedName name="IQRL47" hidden="1">"$L$48:$L$50"</definedName>
    <definedName name="IQRL48" hidden="1">"$L$49:$L$52"</definedName>
    <definedName name="IQRL5" hidden="1">"$L$6:$L$12"</definedName>
    <definedName name="IQRL6" hidden="1">"$L$7:$L$11"</definedName>
    <definedName name="IQRL62" hidden="1">"$L$63:$L$72"</definedName>
    <definedName name="IQRL64" hidden="1">"$L$65:$L$67"</definedName>
    <definedName name="IQRL68" hidden="1">"$L$69:$L$78"</definedName>
    <definedName name="IQRL69" hidden="1">"$L$70:$L$72"</definedName>
    <definedName name="IQRL7" hidden="1">"$L$8:$L$12"</definedName>
    <definedName name="IQRL70" hidden="1">"$L$71:$L$73"</definedName>
    <definedName name="IQRL71" hidden="1">"$L$72:$L$81"</definedName>
    <definedName name="IQRL72" hidden="1">"$L$73:$L$82"</definedName>
    <definedName name="IQRL73" hidden="1">"$L$74:$L$83"</definedName>
    <definedName name="IQRL74" hidden="1">"$L$75:$L$84"</definedName>
    <definedName name="IQRL84" hidden="1">"$L$85:$L$86"</definedName>
    <definedName name="IQRM10" hidden="1">"$M$11"</definedName>
    <definedName name="IQRM12" hidden="1">"$N$12:$R$12"</definedName>
    <definedName name="IQRM14" hidden="1">"$M$15:$M$19"</definedName>
    <definedName name="IQRM16" hidden="1">"$M$17:$M$182"</definedName>
    <definedName name="IQRM17" hidden="1">"$M$18:$M$20"</definedName>
    <definedName name="IQRM22" hidden="1">"$M$23:$M$43"</definedName>
    <definedName name="IQRM26" hidden="1">"$M$27"</definedName>
    <definedName name="IQRM27" hidden="1">"$M$28:$M$529"</definedName>
    <definedName name="IQRM3" hidden="1">"$N$3:$S$3"</definedName>
    <definedName name="IQRM4" hidden="1">"$N$4:$S$4"</definedName>
    <definedName name="IQRM41" hidden="1">"$M$42:$M$46"</definedName>
    <definedName name="IQRM7" hidden="1">#REF!</definedName>
    <definedName name="IQRM87" hidden="1">"$M$88:$M$108"</definedName>
    <definedName name="IQRN10" hidden="1">"$O$10"</definedName>
    <definedName name="IQRN12" hidden="1">"$O$12:$S$12"</definedName>
    <definedName name="IQRN13" hidden="1">"$O$13:$S$13"</definedName>
    <definedName name="IQRN14" hidden="1">"$O$14"</definedName>
    <definedName name="IQRN15" hidden="1">"$O$15:$S$15"</definedName>
    <definedName name="IQRN16" hidden="1">"$O$16:$S$16"</definedName>
    <definedName name="IQRN17" hidden="1">"$O$17:$S$17"</definedName>
    <definedName name="IQRN18" hidden="1">"$O$18:$S$18"</definedName>
    <definedName name="IQRN19" hidden="1">"$O$19:$S$19"</definedName>
    <definedName name="IQRN20" hidden="1">"$O$20:$S$20"</definedName>
    <definedName name="IQRN21" hidden="1">"$O$21"</definedName>
    <definedName name="IQRN22" hidden="1">"$O$22"</definedName>
    <definedName name="IQRN23" hidden="1">"$O$23"</definedName>
    <definedName name="IQRN24" hidden="1">"$O$24"</definedName>
    <definedName name="IQRN25" hidden="1">"$O$25"</definedName>
    <definedName name="IQRN26" hidden="1">"$O$26"</definedName>
    <definedName name="IQRN27" hidden="1">"$O$27"</definedName>
    <definedName name="IQRN28" hidden="1">"$O$28"</definedName>
    <definedName name="IQRN29" hidden="1">"$O$29"</definedName>
    <definedName name="IQRN30" hidden="1">"$O$30"</definedName>
    <definedName name="IQRN31" hidden="1">"$O$31"</definedName>
    <definedName name="IQRN38" hidden="1">"$N$39"</definedName>
    <definedName name="IQRN43" hidden="1">"$N$44"</definedName>
    <definedName name="IQRN50" hidden="1">"$N$51"</definedName>
    <definedName name="IQRN60" hidden="1">"$N$61"</definedName>
    <definedName name="IQRN7" hidden="1">"$N$8:$N$166"</definedName>
    <definedName name="IQRN8" hidden="1">"$O$8:$S$8"</definedName>
    <definedName name="IQRN87" hidden="1">"$N$88:$N$108"</definedName>
    <definedName name="IQRN9" hidden="1">"$O$9"</definedName>
    <definedName name="IQRO10" hidden="1">"$O$11:$O$18"</definedName>
    <definedName name="IQRO12" hidden="1">"$O$13:$O$31"</definedName>
    <definedName name="IQRO14" hidden="1">"$O$15:$O$114"</definedName>
    <definedName name="IQRO7" hidden="1">"$O$8:$O$178"</definedName>
    <definedName name="IQRO9" hidden="1">"$O$10:$O$14"</definedName>
    <definedName name="IQROtherRangesJ10" hidden="1">#REF!</definedName>
    <definedName name="IQROtherRangesJ26" hidden="1">#REF!</definedName>
    <definedName name="IQROtherRangesJ41" hidden="1">#REF!</definedName>
    <definedName name="IQROtherRangesU70" hidden="1">#REF!</definedName>
    <definedName name="IQROwnershipExamplesD13" hidden="1">#REF!</definedName>
    <definedName name="IQROwnershipExamplesE13" hidden="1">#REF!</definedName>
    <definedName name="IQROwnershipExamplesF13" hidden="1">#REF!</definedName>
    <definedName name="IQROwnershipExamplesG13" hidden="1">#REF!</definedName>
    <definedName name="IQROwnershipExamplesH13" hidden="1">#REF!</definedName>
    <definedName name="IQROwnershipExamplesI13" hidden="1">#REF!</definedName>
    <definedName name="IQROwnershipExamplesJ13" hidden="1">#REF!</definedName>
    <definedName name="IQROwnershipExamplesK13" hidden="1">#REF!</definedName>
    <definedName name="IQROwnershipExamplesL13" hidden="1">#REF!</definedName>
    <definedName name="IQRP10" hidden="1">"$Q$10:$AH$10"</definedName>
    <definedName name="IQRP11" hidden="1">"$Q$11:$AH$11"</definedName>
    <definedName name="IQRP12" hidden="1">"$Q$12:$AH$12"</definedName>
    <definedName name="IQRP13" hidden="1">"$Q$13:$AH$13"</definedName>
    <definedName name="IQRP14" hidden="1">"$Q$14:$AH$14"</definedName>
    <definedName name="IQRP15" hidden="1">"$Q$15:$AH$15"</definedName>
    <definedName name="IQRP16" hidden="1">"$Q$16:$AH$16"</definedName>
    <definedName name="IQRP17" hidden="1">"$Q$17:$AJ$17"</definedName>
    <definedName name="IQRP4" hidden="1">"$Q$4:$AH$4"</definedName>
    <definedName name="IQRP5" hidden="1">"$Q$5:$AH$5"</definedName>
    <definedName name="IQRP6" hidden="1">"$Q$6:$AH$6"</definedName>
    <definedName name="IQRP68" hidden="1">"$P$69:$P$70"</definedName>
    <definedName name="IQRP7" hidden="1">"$P$8:$P$145"</definedName>
    <definedName name="IQRP8" hidden="1">"$Q$8:$AH$8"</definedName>
    <definedName name="IQRP9" hidden="1">"$Q$9:$AH$9"</definedName>
    <definedName name="IQRQ12" hidden="1">"$Q$13:$Q$31"</definedName>
    <definedName name="IQRQ14" hidden="1">"$Q$15:$Q$114"</definedName>
    <definedName name="IQRQ7" hidden="1">"$Q$8:$Q$73"</definedName>
    <definedName name="IQRQuickMatchE10" hidden="1">#REF!</definedName>
    <definedName name="IQRQuickMatchF10" hidden="1">#REF!</definedName>
    <definedName name="IQRR12" hidden="1">"$R$13:$R$31"</definedName>
    <definedName name="IQRR14" hidden="1">#REF!</definedName>
    <definedName name="IQRR7" hidden="1">"$R$8:$R$59"</definedName>
    <definedName name="IQRReportedFSB155" hidden="1">#REF!</definedName>
    <definedName name="IQRReportedFSB6" hidden="1">#REF!</definedName>
    <definedName name="IQRReportedFSB70" hidden="1">#REF!</definedName>
    <definedName name="IQRS12" hidden="1">"$S$13:$S$31"</definedName>
    <definedName name="IQRS14" hidden="1">"$S$15:$S$114"</definedName>
    <definedName name="IQRS15" hidden="1">"$S$16:$S$25"</definedName>
    <definedName name="IQRS7" hidden="1">"$S$8:$S$19"</definedName>
    <definedName name="IQRSegmentalAA14" hidden="1">#REF!</definedName>
    <definedName name="IQRSegmentalAB14" hidden="1">#REF!</definedName>
    <definedName name="IQRSegmentalAD14" hidden="1">#REF!</definedName>
    <definedName name="IQRSegmentalAE14" hidden="1">#REF!</definedName>
    <definedName name="IQRSegmentalAF14" hidden="1">#REF!</definedName>
    <definedName name="IQRSegmentalAG14" hidden="1">#REF!</definedName>
    <definedName name="IQRSegmentalAI14" hidden="1">#REF!</definedName>
    <definedName name="IQRSegmentalAJ14" hidden="1">#REF!</definedName>
    <definedName name="IQRSegmentalAK14" hidden="1">#REF!</definedName>
    <definedName name="IQRSegmentalAL14" hidden="1">#REF!</definedName>
    <definedName name="IQRSegmentalAN14" hidden="1">#REF!</definedName>
    <definedName name="IQRSegmentalAO14" hidden="1">#REF!</definedName>
    <definedName name="IQRSegmentalAP14" hidden="1">#REF!</definedName>
    <definedName name="IQRSegmentalAQ14" hidden="1">#REF!</definedName>
    <definedName name="IQRSegmentalAS14" hidden="1">#REF!</definedName>
    <definedName name="IQRSegmentalAT14" hidden="1">#REF!</definedName>
    <definedName name="IQRSegmentalAU14" hidden="1">#REF!</definedName>
    <definedName name="IQRSegmentalAV14" hidden="1">#REF!</definedName>
    <definedName name="IQRSegmentalAX14" hidden="1">#REF!</definedName>
    <definedName name="IQRSegmentalAY14" hidden="1">#REF!</definedName>
    <definedName name="IQRSegmentalAZ14" hidden="1">#REF!</definedName>
    <definedName name="IQRSegmentalBA14" hidden="1">#REF!</definedName>
    <definedName name="IQRSegmentalBC14" hidden="1">#REF!</definedName>
    <definedName name="IQRSegmentalBD14" hidden="1">#REF!</definedName>
    <definedName name="IQRSegmentalBE14" hidden="1">#REF!</definedName>
    <definedName name="IQRSegmentalBF14" hidden="1">#REF!</definedName>
    <definedName name="IQRSegmentalBH14" hidden="1">#REF!</definedName>
    <definedName name="IQRSegmentalBI14" hidden="1">#REF!</definedName>
    <definedName name="IQRSegmentalBJ14" hidden="1">#REF!</definedName>
    <definedName name="IQRSegmentalBK14" hidden="1">#REF!</definedName>
    <definedName name="IQRSegmentalBM14" hidden="1">#REF!</definedName>
    <definedName name="IQRSegmentalBN14" hidden="1">#REF!</definedName>
    <definedName name="IQRSegmentalBO14" hidden="1">#REF!</definedName>
    <definedName name="IQRSegmentalBP14" hidden="1">#REF!</definedName>
    <definedName name="IQRSegmentalBR14" hidden="1">#REF!</definedName>
    <definedName name="IQRSegmentalBS14" hidden="1">#REF!</definedName>
    <definedName name="IQRSegmentalBT14" hidden="1">#REF!</definedName>
    <definedName name="IQRSegmentalBU14" hidden="1">#REF!</definedName>
    <definedName name="IQRSegmentalBW14" hidden="1">#REF!</definedName>
    <definedName name="IQRSegmentalBX14" hidden="1">#REF!</definedName>
    <definedName name="IQRSegmentalBY14" hidden="1">#REF!</definedName>
    <definedName name="IQRSegmentalBZ14" hidden="1">#REF!</definedName>
    <definedName name="IQRSegmentalCB14" hidden="1">#REF!</definedName>
    <definedName name="IQRSegmentalCC14" hidden="1">#REF!</definedName>
    <definedName name="IQRSegmentalCD14" hidden="1">#REF!</definedName>
    <definedName name="IQRSegmentalCE14" hidden="1">#REF!</definedName>
    <definedName name="IQRSegmentalCG14" hidden="1">#REF!</definedName>
    <definedName name="IQRSegmentalCH14" hidden="1">#REF!</definedName>
    <definedName name="IQRSegmentalCI14" hidden="1">#REF!</definedName>
    <definedName name="IQRSegmentalCJ14" hidden="1">#REF!</definedName>
    <definedName name="IQRSegmentalCL14" hidden="1">#REF!</definedName>
    <definedName name="IQRSegmentalCM14" hidden="1">#REF!</definedName>
    <definedName name="IQRSegmentalCN14" hidden="1">#REF!</definedName>
    <definedName name="IQRSegmentalCO14" hidden="1">#REF!</definedName>
    <definedName name="IQRSegmentalCQ14" hidden="1">#REF!</definedName>
    <definedName name="IQRSegmentalCR14" hidden="1">#REF!</definedName>
    <definedName name="IQRSegmentalCS14" hidden="1">#REF!</definedName>
    <definedName name="IQRSegmentalCT14" hidden="1">#REF!</definedName>
    <definedName name="IQRSegmentalCV14" hidden="1">#REF!</definedName>
    <definedName name="IQRSegmentalCW14" hidden="1">#REF!</definedName>
    <definedName name="IQRSegmentalCX14" hidden="1">#REF!</definedName>
    <definedName name="IQRSegmentalCY14" hidden="1">#REF!</definedName>
    <definedName name="IQRSegmentalE14" hidden="1">#REF!</definedName>
    <definedName name="IQRSegmentalF14" hidden="1">#REF!</definedName>
    <definedName name="IQRSegmentalG14" hidden="1">#REF!</definedName>
    <definedName name="IQRSegmentalH14" hidden="1">#REF!</definedName>
    <definedName name="IQRSegmentalJ14" hidden="1">#REF!</definedName>
    <definedName name="IQRSegmentalK14" hidden="1">#REF!</definedName>
    <definedName name="IQRSegmentalL14" hidden="1">#REF!</definedName>
    <definedName name="IQRSegmentalM14" hidden="1">#REF!</definedName>
    <definedName name="IQRSegmentalO14" hidden="1">#REF!</definedName>
    <definedName name="IQRSegmentalP14" hidden="1">#REF!</definedName>
    <definedName name="IQRSegmentalQ14" hidden="1">#REF!</definedName>
    <definedName name="IQRSegmentalR14" hidden="1">#REF!</definedName>
    <definedName name="IQRSegmentalT14" hidden="1">#REF!</definedName>
    <definedName name="IQRSegmentalU14" hidden="1">#REF!</definedName>
    <definedName name="IQRSegmentalV14" hidden="1">#REF!</definedName>
    <definedName name="IQRSegmentalW14" hidden="1">#REF!</definedName>
    <definedName name="IQRSegmentalY14" hidden="1">#REF!</definedName>
    <definedName name="IQRSegmentalZ14" hidden="1">#REF!</definedName>
    <definedName name="IQRSegmentC5" hidden="1">#REF!</definedName>
    <definedName name="IQRSegmentC6" hidden="1">#REF!</definedName>
    <definedName name="IQRSegmentD5" hidden="1">#REF!</definedName>
    <definedName name="IQRSegmentD6" hidden="1">#REF!</definedName>
    <definedName name="IQRSegmentE28" hidden="1">#REF!</definedName>
    <definedName name="IQRSegmentE5" hidden="1">#REF!</definedName>
    <definedName name="IQRSegmentE6" hidden="1">#REF!</definedName>
    <definedName name="IQRSegmentF5" hidden="1">#REF!</definedName>
    <definedName name="IQRSegmentF6" hidden="1">#REF!</definedName>
    <definedName name="IQRSegmentG5" hidden="1">#REF!</definedName>
    <definedName name="IQRSegmentH5" hidden="1">#REF!</definedName>
    <definedName name="IQRSegmentI3" hidden="1">#REF!</definedName>
    <definedName name="IQRSegmentJ3" hidden="1">#REF!</definedName>
    <definedName name="IQRSegmentK3" hidden="1">#REF!</definedName>
    <definedName name="IQRSegmentK6" hidden="1">#REF!</definedName>
    <definedName name="IQRSegmentL6" hidden="1">#REF!</definedName>
    <definedName name="IQRSegmentM6" hidden="1">#REF!</definedName>
    <definedName name="IQRSegmentM7" hidden="1">#REF!</definedName>
    <definedName name="IQRSegmentN6" hidden="1">#REF!</definedName>
    <definedName name="IQRSegmentN7" hidden="1">#REF!</definedName>
    <definedName name="IQRSegmentO7" hidden="1">#REF!</definedName>
    <definedName name="IQRSegmentP7" hidden="1">#REF!</definedName>
    <definedName name="IQRSegmentQ7" hidden="1">#REF!</definedName>
    <definedName name="IQRSegmentR7" hidden="1">#REF!</definedName>
    <definedName name="IQRSegmentS3" hidden="1">#REF!</definedName>
    <definedName name="IQRSharePriceAJ5" hidden="1">#REF!</definedName>
    <definedName name="IQRSharePriceAJ6" hidden="1">#REF!</definedName>
    <definedName name="IQRSharePriceAO5" hidden="1">#REF!</definedName>
    <definedName name="IQRSheet16B2" hidden="1">#REF!</definedName>
    <definedName name="IQRSheet16C2" hidden="1">#REF!</definedName>
    <definedName name="IQRSheet16D2" hidden="1">#REF!</definedName>
    <definedName name="IQRSheet19C6" hidden="1">#REF!</definedName>
    <definedName name="IQRSheet19D6" hidden="1">#REF!</definedName>
    <definedName name="IQRSheet19E6" hidden="1">#REF!</definedName>
    <definedName name="IQRSheet19F6" hidden="1">#REF!</definedName>
    <definedName name="IQRSheet19G6" hidden="1">#REF!</definedName>
    <definedName name="IQRSheet19H6" hidden="1">#REF!</definedName>
    <definedName name="IQRSheet1AP5" hidden="1">#REF!</definedName>
    <definedName name="IQRSummaryInfoAA14" hidden="1">#REF!</definedName>
    <definedName name="IQRSummaryInfoAB14" hidden="1">#REF!</definedName>
    <definedName name="IQRSummaryInfoAC14" hidden="1">#REF!</definedName>
    <definedName name="IQRSummaryInfoAD14" hidden="1">#REF!</definedName>
    <definedName name="IQRSummaryInfoAE14" hidden="1">#REF!</definedName>
    <definedName name="IQRSummaryInfoAF14" hidden="1">#REF!</definedName>
    <definedName name="IQRSummaryInfoAG14" hidden="1">#REF!</definedName>
    <definedName name="IQRSummaryInfoAH14" hidden="1">#REF!</definedName>
    <definedName name="IQRSummaryInfoAI14" hidden="1">#REF!</definedName>
    <definedName name="IQRSummaryInfoAJ14" hidden="1">#REF!</definedName>
    <definedName name="IQRSummaryInfoAK14" hidden="1">#REF!</definedName>
    <definedName name="IQRSummaryInfoAL14" hidden="1">#REF!</definedName>
    <definedName name="IQRSummaryInfoAM14" hidden="1">#REF!</definedName>
    <definedName name="IQRSummaryInfoAN14" hidden="1">#REF!</definedName>
    <definedName name="IQRSummaryInfoAO14" hidden="1">#REF!</definedName>
    <definedName name="IQRSummaryInfoAP14" hidden="1">#REF!</definedName>
    <definedName name="IQRSummaryInfoAQ14" hidden="1">#REF!</definedName>
    <definedName name="IQRSummaryInfoAR14" hidden="1">#REF!</definedName>
    <definedName name="IQRSummaryInfoAS14" hidden="1">#REF!</definedName>
    <definedName name="IQRSummaryInfoAT14" hidden="1">#REF!</definedName>
    <definedName name="IQRSummaryInfoAU14" hidden="1">#REF!</definedName>
    <definedName name="IQRSummaryInfoAV14" hidden="1">#REF!</definedName>
    <definedName name="IQRSummaryInfoAW14" hidden="1">#REF!</definedName>
    <definedName name="IQRSummaryInfoAX14" hidden="1">#REF!</definedName>
    <definedName name="IQRSummaryInfoAY14" hidden="1">#REF!</definedName>
    <definedName name="IQRSummaryInfoAZ14" hidden="1">#REF!</definedName>
    <definedName name="IQRSummaryInfoBA14" hidden="1">#REF!</definedName>
    <definedName name="IQRSummaryInfoBB14" hidden="1">#REF!</definedName>
    <definedName name="IQRSummaryInfoBC14" hidden="1">#REF!</definedName>
    <definedName name="IQRSummaryInfoBD14" hidden="1">#REF!</definedName>
    <definedName name="IQRSummaryInfoBE14" hidden="1">#REF!</definedName>
    <definedName name="IQRSummaryInfoBF14" hidden="1">#REF!</definedName>
    <definedName name="IQRSummaryInfoBG14" hidden="1">#REF!</definedName>
    <definedName name="IQRSummaryInfoBH14" hidden="1">#REF!</definedName>
    <definedName name="IQRSummaryInfoBI14" hidden="1">#REF!</definedName>
    <definedName name="IQRSummaryInfoBJ14" hidden="1">#REF!</definedName>
    <definedName name="IQRSummaryInfoBK14" hidden="1">#REF!</definedName>
    <definedName name="IQRSummaryInfoC14" hidden="1">#REF!</definedName>
    <definedName name="IQRSummaryInfoC20" hidden="1">#REF!</definedName>
    <definedName name="IQRSummaryInfoD14" hidden="1">#REF!</definedName>
    <definedName name="IQRSummaryInfoD20" hidden="1">#REF!</definedName>
    <definedName name="IQRSummaryInfoE14" hidden="1">#REF!</definedName>
    <definedName name="IQRSummaryInfoE20" hidden="1">#REF!</definedName>
    <definedName name="IQRSummaryInfoE5" hidden="1">#REF!</definedName>
    <definedName name="IQRSummaryInfoF14" hidden="1">#REF!</definedName>
    <definedName name="IQRSummaryInfoF20" hidden="1">#REF!</definedName>
    <definedName name="IQRSummaryInfoF5" hidden="1">#REF!</definedName>
    <definedName name="IQRSummaryInfoG14" hidden="1">#REF!</definedName>
    <definedName name="IQRSummaryInfoG20" hidden="1">#REF!</definedName>
    <definedName name="IQRSummaryInfoG5" hidden="1">#REF!</definedName>
    <definedName name="IQRSummaryInfoH14" hidden="1">#REF!</definedName>
    <definedName name="IQRSummaryInfoH20" hidden="1">#REF!</definedName>
    <definedName name="IQRSummaryInfoH5" hidden="1">#REF!</definedName>
    <definedName name="IQRSummaryInfoI14" hidden="1">#REF!</definedName>
    <definedName name="IQRSummaryInfoJ14" hidden="1">#REF!</definedName>
    <definedName name="IQRSummaryInfoJ29" hidden="1">#REF!</definedName>
    <definedName name="IQRSummaryInfoJ3" hidden="1">#REF!</definedName>
    <definedName name="IQRSummaryInfoK14" hidden="1">#REF!</definedName>
    <definedName name="IQRSummaryInfoL14" hidden="1">#REF!</definedName>
    <definedName name="IQRSummaryInfoM14" hidden="1">#REF!</definedName>
    <definedName name="IQRSummaryInfoN14" hidden="1">#REF!</definedName>
    <definedName name="IQRSummaryInfoN7" hidden="1">#REF!</definedName>
    <definedName name="IQRSummaryInfoO14" hidden="1">#REF!</definedName>
    <definedName name="IQRSummaryInfoO7" hidden="1">#REF!</definedName>
    <definedName name="IQRSummaryInfoP14" hidden="1">#REF!</definedName>
    <definedName name="IQRSummaryInfoQ14" hidden="1">#REF!</definedName>
    <definedName name="IQRSummaryInfoR14" hidden="1">#REF!</definedName>
    <definedName name="IQRSummaryInfoS14" hidden="1">#REF!</definedName>
    <definedName name="IQRSummaryInfoT14" hidden="1">#REF!</definedName>
    <definedName name="IQRSummaryInfoU14" hidden="1">#REF!</definedName>
    <definedName name="IQRSummaryInfoV14" hidden="1">#REF!</definedName>
    <definedName name="IQRSummaryInfoW14" hidden="1">#REF!</definedName>
    <definedName name="IQRSummaryInfoX14" hidden="1">#REF!</definedName>
    <definedName name="IQRSummaryInfoY14" hidden="1">#REF!</definedName>
    <definedName name="IQRSummaryInfoZ14" hidden="1">#REF!</definedName>
    <definedName name="IQRT14" hidden="1">#REF!</definedName>
    <definedName name="IQRT15" hidden="1">"$T$16:$T$25"</definedName>
    <definedName name="IQRT7" hidden="1">"$T$8:$T$14"</definedName>
    <definedName name="IQRTARPA7" hidden="1">#REF!</definedName>
    <definedName name="IQRTARPB7" hidden="1">#REF!</definedName>
    <definedName name="IQRTARPC7" hidden="1">#REF!</definedName>
    <definedName name="IQRTARPD7" hidden="1">#REF!</definedName>
    <definedName name="IQRTARPE7" hidden="1">#REF!</definedName>
    <definedName name="IQRTARPF7" hidden="1">#REF!</definedName>
    <definedName name="IQRTARPG7" hidden="1">#REF!</definedName>
    <definedName name="IQRTARPH7" hidden="1">#REF!</definedName>
    <definedName name="IQRTARPI7" hidden="1">#REF!</definedName>
    <definedName name="IQRTARPJ7" hidden="1">#REF!</definedName>
    <definedName name="IQRTimeSeriesC23" hidden="1">#REF!</definedName>
    <definedName name="IQRTradingComps_RawE14" hidden="1">#REF!</definedName>
    <definedName name="IQRTTE5" hidden="1">#REF!</definedName>
    <definedName name="IQRTTF5" hidden="1">#REF!</definedName>
    <definedName name="IQRTTG5" hidden="1">#REF!</definedName>
    <definedName name="IQRTTH5" hidden="1">#REF!</definedName>
    <definedName name="IQRTTJ3" hidden="1">#REF!</definedName>
    <definedName name="IQRTTN7" hidden="1">#REF!</definedName>
    <definedName name="IQRTTO7" hidden="1">#REF!</definedName>
    <definedName name="IQRU14" hidden="1">"$U$15:$U$114"</definedName>
    <definedName name="IQRU6" hidden="1">"$U$7:$U$273"</definedName>
    <definedName name="IQRU7" hidden="1">"$U$8:$U$18"</definedName>
    <definedName name="IQRU70" hidden="1">"$U$71:$U$75"</definedName>
    <definedName name="IQRV14" hidden="1">#REF!</definedName>
    <definedName name="IQRV33" hidden="1">"$V$34:$V$42"</definedName>
    <definedName name="IQRV7" hidden="1">"$V$8:$V$18"</definedName>
    <definedName name="IQRW14" hidden="1">"$W$15:$W$114"</definedName>
    <definedName name="IQRW6" hidden="1">"$W$7:$W$273"</definedName>
    <definedName name="IQRW7" hidden="1">"$W$8:$W$26"</definedName>
    <definedName name="IQRWACCAnalysisBB10" hidden="1">#REF!</definedName>
    <definedName name="IQRWACCAnalysisBC10" hidden="1">#REF!</definedName>
    <definedName name="IQRWACCAnalysisBF10" hidden="1">#REF!</definedName>
    <definedName name="IQRWACCAnalysisBH10" hidden="1">#REF!</definedName>
    <definedName name="IQRWACCAnalysisBJ10" hidden="1">#REF!</definedName>
    <definedName name="IQRWACCAnalysisBK10" hidden="1">#REF!</definedName>
    <definedName name="IQRWACCAnalysisBL10" hidden="1">#REF!</definedName>
    <definedName name="IQRWACCAnalysisBM10" hidden="1">#REF!</definedName>
    <definedName name="IQRWACCAnalysisBN10" hidden="1">#REF!</definedName>
    <definedName name="IQRWACCAnalysisBO10" hidden="1">#REF!</definedName>
    <definedName name="IQRWACCAnalysisBP10" hidden="1">#REF!</definedName>
    <definedName name="IQRWACCAnalysisBQ10" hidden="1">#REF!</definedName>
    <definedName name="IQRWACCAnalysisBR10" hidden="1">#REF!</definedName>
    <definedName name="IQRWACCAnalysisBS10" hidden="1">#REF!</definedName>
    <definedName name="IQRWACCAnalysisBT10" hidden="1">#REF!</definedName>
    <definedName name="IQRWACCAnalysisBU10" hidden="1">#REF!</definedName>
    <definedName name="IQRWACCAnalysisBV10" hidden="1">#REF!</definedName>
    <definedName name="IQRWACCAnalysisBW10" hidden="1">#REF!</definedName>
    <definedName name="IQRWACCAnalysisBX10" hidden="1">#REF!</definedName>
    <definedName name="IQRWACCAnalysisBY10" hidden="1">#REF!</definedName>
    <definedName name="IQRWACCAnalysisBZ10" hidden="1">#REF!</definedName>
    <definedName name="IQRWACCAnalysisCA10" hidden="1">#REF!</definedName>
    <definedName name="IQRWACCAnalysisCB10" hidden="1">#REF!</definedName>
    <definedName name="IQRWACCAnalysisCC10" hidden="1">#REF!</definedName>
    <definedName name="IQRWACCAnalysisCD10" hidden="1">#REF!</definedName>
    <definedName name="IQRX6" hidden="1">"$X$7:$X$273"</definedName>
    <definedName name="IQRX7" hidden="1">"$X$8:$X$29"</definedName>
    <definedName name="IQRX9" hidden="1">"$X$10:$X$260"</definedName>
    <definedName name="IQRY14" hidden="1">"$Y$15:$Y$114"</definedName>
    <definedName name="IQRY7" hidden="1">"$Y$8:$Y$10"</definedName>
    <definedName name="IQRZ14" hidden="1">#REF!</definedName>
    <definedName name="IQRZ7" hidden="1">"$Z$8:$Z$10"</definedName>
    <definedName name="IQSCompsB4" hidden="1">"$B$5:$B$197"</definedName>
    <definedName name="IQSExcelB4" hidden="1">"$B$5:$B$20"</definedName>
    <definedName name="IQSNewforAprilA28" hidden="1">"$A$29:$A$40"</definedName>
    <definedName name="IQSPropDataCompsA7" hidden="1">"$A$8:$A$27"</definedName>
    <definedName name="IQSSheet1A2" hidden="1">"$A$3:$A$13"</definedName>
    <definedName name="IQSSheet1A3" hidden="1">"$A$4:$A$15"</definedName>
    <definedName name="IQSSheet1A4" hidden="1">"$A$5:$A$12"</definedName>
    <definedName name="IsColHidden" hidden="1">FALSE</definedName>
    <definedName name="IsLTMColHidden" hidden="1">FALSE</definedName>
    <definedName name="jh" hidden="1">{"EVA",#N/A,FALSE,"EVA";"WACC",#N/A,FALSE,"WACC"}</definedName>
    <definedName name="jkj" hidden="1">{"mult96",#N/A,FALSE,"PETCOMP";"est96",#N/A,FALSE,"PETCOMP";"mult95",#N/A,FALSE,"PETCOMP";"est95",#N/A,FALSE,"PETCOMP";"multltm",#N/A,FALSE,"PETCOMP";"resultltm",#N/A,FALSE,"PETCOMP"}</definedName>
    <definedName name="K2_WBEVMODE" hidden="1">-1</definedName>
    <definedName name="klk" hidden="1">{"Graphic",#N/A,TRUE,"Graphic"}</definedName>
    <definedName name="ListOffset" hidden="1">1</definedName>
    <definedName name="loll" hidden="1">#REF!</definedName>
    <definedName name="me" hidden="1">#REF!</definedName>
    <definedName name="MerrillPrintIt" hidden="1">#REF!</definedName>
    <definedName name="misc"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mm" hidden="1">{"adj95mult",#N/A,FALSE,"COMPCO";"adj95est",#N/A,FALSE,"COMPCO"}</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 hidden="1">{"Graphic",#N/A,TRUE,"Graphic"}</definedName>
    <definedName name="NewRange" hidden="1">#REF!</definedName>
    <definedName name="Newsprint.summary" hidden="1">{#N/A,#N/A,FALSE,"Furnish";#N/A,#N/A,FALSE,"Labor Productivity";#N/A,#N/A,FALSE,"Producer";#N/A,#N/A,FALSE,"PM Productivity";#N/A,#N/A,FALSE,"Regions &amp; Delivered";#N/A,#N/A,FALSE,"Product &amp; Delivered";#N/A,#N/A,FALSE,"Delivered Cost";#N/A,#N/A,FALSE,"Cash Cost"}</definedName>
    <definedName name="nnn" hidden="1">{#N/A,#N/A,FALSE,"Aging Summary";#N/A,#N/A,FALSE,"Ratio Analysis";#N/A,#N/A,FALSE,"Test 120 Day Accts";#N/A,#N/A,FALSE,"Tickmarks"}</definedName>
    <definedName name="o" hidden="1">{#N/A,#N/A,FALSE,"New Depr Sch-150% DB";#N/A,#N/A,FALSE,"Cash Flows RLP";#N/A,#N/A,FALSE,"IRR";#N/A,#N/A,FALSE,"Proforma IS";#N/A,#N/A,FALSE,"Assumptions"}</definedName>
    <definedName name="one" hidden="1">{"adj95mult",#N/A,FALSE,"COMPCO";"adj95est",#N/A,FALSE,"COMPCO"}</definedName>
    <definedName name="ooo" hidden="1">{"Graphic",#N/A,TRUE,"Graphic"}</definedName>
    <definedName name="p" hidden="1">{"External_Annual_Income",#N/A,FALSE,"External";"External_Quarterly_Income",#N/A,FALSE,"External"}</definedName>
    <definedName name="ppp" hidden="1">{"DCF","UPSIDE CASE",FALSE,"Sheet1";"DCF","BASE CASE",FALSE,"Sheet1";"DCF","DOWNSIDE CASE",FALSE,"Sheet1"}</definedName>
    <definedName name="PUB_UserID" hidden="1">"MAYERX"</definedName>
    <definedName name="q" hidden="1">#REF!</definedName>
    <definedName name="rb" hidden="1">#REF!</definedName>
    <definedName name="re" hidden="1">#REF!</definedName>
    <definedName name="RedefinePrintTableRange" hidden="1">#REF!</definedName>
    <definedName name="redo" hidden="1">{#N/A,#N/A,FALSE,"ACQ_GRAPHS";#N/A,#N/A,FALSE,"T_1 GRAPHS";#N/A,#N/A,FALSE,"T_2 GRAPHS";#N/A,#N/A,FALSE,"COMB_GRAPHS"}</definedName>
    <definedName name="Report" hidden="1">{#N/A,#N/A,FALSE,"Report Print"}</definedName>
    <definedName name="ReportPage1" hidden="1">{"Annual_Income",#N/A,FALSE,"Report Page";"Balance_Cash_Flow",#N/A,FALSE,"Report Page";"Quarterly_Income",#N/A,FALSE,"Report Page"}</definedName>
    <definedName name="rt" hidden="1">#REF!</definedName>
    <definedName name="rty" hidden="1">#REF!</definedName>
    <definedName name="rvghrtfgh" hidden="1">#REF!</definedName>
    <definedName name="SAPBEXrevision" hidden="1">6</definedName>
    <definedName name="SAPBEXsysID" hidden="1">"AW1"</definedName>
    <definedName name="SAPBEXwbID" hidden="1">"3OHOMDSTKMDZCD0XFTR7RJ7Z1"</definedName>
    <definedName name="scratch" hidden="1">{#N/A,#N/A,FALSE,"Furnish";#N/A,#N/A,FALSE,"Labor Productivity";#N/A,#N/A,FALSE,"Producer";#N/A,#N/A,FALSE,"PM Productivity";#N/A,#N/A,FALSE,"Regions &amp; Delivered";#N/A,#N/A,FALSE,"Product &amp; Delivered";#N/A,#N/A,FALSE,"Delivered Cost";#N/A,#N/A,FALSE,"Cash Cost"}</definedName>
    <definedName name="solver_lin" hidden="1">0</definedName>
    <definedName name="solver_num" hidden="1">0</definedName>
    <definedName name="solver_typ" hidden="1">3</definedName>
    <definedName name="solver_val" hidden="1">0.6</definedName>
    <definedName name="T" hidden="1">#REF!</definedName>
    <definedName name="TCredo" hidden="1">{#N/A,#N/A,FALSE,"ACQ_GRAPHS";#N/A,#N/A,FALSE,"T_1 GRAPHS";#N/A,#N/A,FALSE,"T_2 GRAPHS";#N/A,#N/A,FALSE,"COMB_GRAPHS"}</definedName>
    <definedName name="TCwrn" hidden="1">{#N/A,#N/A,FALSE,"INPUTS";#N/A,#N/A,FALSE,"PROFORMA BSHEET";#N/A,#N/A,FALSE,"COMBINED";#N/A,#N/A,FALSE,"ACQUIROR";#N/A,#N/A,FALSE,"TARGET 1";#N/A,#N/A,FALSE,"TARGET 2";#N/A,#N/A,FALSE,"HIGH YIELD";#N/A,#N/A,FALSE,"OVERFUND"}</definedName>
    <definedName name="TCwrn.comb" hidden="1">{#N/A,#N/A,FALSE,"INPUTS";#N/A,#N/A,FALSE,"PROFORMA BSHEET";#N/A,#N/A,FALSE,"COMBINED";#N/A,#N/A,FALSE,"HIGH YIELD";#N/A,#N/A,FALSE,"COMB_GRAPHS"}</definedName>
    <definedName name="TCwrn.graphs" hidden="1">{#N/A,#N/A,FALSE,"ACQ_GRAPHS";#N/A,#N/A,FALSE,"T_1 GRAPHS";#N/A,#N/A,FALSE,"T_2 GRAPHS";#N/A,#N/A,FALSE,"COMB_GRAPHS"}</definedName>
    <definedName name="TCwrn.val" hidden="1">{#N/A,#N/A,FALSE,"Valuation Assumptions";#N/A,#N/A,FALSE,"Summary";#N/A,#N/A,FALSE,"DCF";#N/A,#N/A,FALSE,"Valuation";#N/A,#N/A,FALSE,"WACC";#N/A,#N/A,FALSE,"UBVH";#N/A,#N/A,FALSE,"Free Cash Flow"}</definedName>
    <definedName name="temp" hidden="1">#REF!</definedName>
    <definedName name="Template" hidden="1">#REF!</definedName>
    <definedName name="test" hidden="1">{#N/A,#N/A,FALSE,"tax";#N/A,#N/A,FALSE,"Sheet2 (3)";#N/A,#N/A,FALSE,"wip";#N/A,#N/A,FALSE,"Sheet4"}</definedName>
    <definedName name="TextRefCopyRangeCount" hidden="1">2</definedName>
    <definedName name="tu" hidden="1">#REF!</definedName>
    <definedName name="v" hidden="1">#REF!</definedName>
    <definedName name="vbrdv" hidden="1">#REF!</definedName>
    <definedName name="vvv" hidden="1">{"DCF","UPSIDE CASE",FALSE,"Sheet1";"DCF","BASE CASE",FALSE,"Sheet1";"DCF","DOWNSIDE CASE",FALSE,"Sheet1"}</definedName>
    <definedName name="wang" hidden="1">{#N/A,#N/A,FALSE,"Aging Summary";#N/A,#N/A,FALSE,"Ratio Analysis";#N/A,#N/A,FALSE,"Test 120 Day Accts";#N/A,#N/A,FALSE,"Tickmarks"}</definedName>
    <definedName name="we" hidden="1">#REF!</definedName>
    <definedName name="what" hidden="1">{"Annual_Income",#N/A,FALSE,"Report Page";"Balance_Cash_Flow",#N/A,FALSE,"Report Page";"Quarterly_Income",#N/A,FALSE,"Report Page"}</definedName>
    <definedName name="what1" hidden="1">"2a059327-577c-4f31-b167-b706515ea428"</definedName>
    <definedName name="wrn.Acquisition_matrix." hidden="1">{"Acq_matrix",#N/A,FALSE,"Acquisition Matrix"}</definedName>
    <definedName name="wrn.ACQUISITION._.DSW." hidden="1">{#N/A,#N/A,FALSE,"Simu.";#N/A,#N/A,FALSE,"Table";#N/A,#N/A,FALSE,"Hypo."}</definedName>
    <definedName name="wrn.adj95." hidden="1">{"adj95mult",#N/A,FALSE,"COMPCO";"adj95est",#N/A,FALSE,"COMPCO"}</definedName>
    <definedName name="wrn.Aging._.and._.Trend._.Analysis." hidden="1">{#N/A,#N/A,FALSE,"Aging Summary";#N/A,#N/A,FALSE,"Ratio Analysis";#N/A,#N/A,FALSE,"Test 120 Day Accts";#N/A,#N/A,FALSE,"Tickmarks"}</definedName>
    <definedName name="wrn.ALL." hidden="1">{#N/A,#N/A,FALSE,"INPUTS";#N/A,#N/A,FALSE,"PROFORMA BSHEET";#N/A,#N/A,FALSE,"COMBINED";#N/A,#N/A,FALSE,"ACQUIROR";#N/A,#N/A,FALSE,"TARGET 1";#N/A,#N/A,FALSE,"TARGET 2";#N/A,#N/A,FALSE,"HIGH YIELD";#N/A,#N/A,FALSE,"OVERFUND"}</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QUIROR._.DCF." hidden="1">{"AQUIRORDCF",#N/A,FALSE,"Merger consequences";"Acquirorassns",#N/A,FALSE,"Merger consequences"}</definedName>
    <definedName name="wrn.Assumption._.Book." hidden="1">{#N/A,#N/A,FALSE,"Model Assumptions"}</definedName>
    <definedName name="wrn.backup." hidden="1">{"financials",#N/A,FALSE,"BASIC";"interest",#N/A,FALSE,"BASIC";"leasing and financing",#N/A,FALSE,"BASIC";"returns back up",#N/A,FALSE,"BASIC"}</definedName>
    <definedName name="wrn.bank._.model." hidden="1">{"banks",#N/A,FALSE,"BASIC"}</definedName>
    <definedName name="wrn.Basic._.Report." hidden="1">{#N/A,#N/A,FALSE,"New Depr Sch-150% DB";#N/A,#N/A,FALSE,"Cash Flows RLP";#N/A,#N/A,FALSE,"IRR";#N/A,#N/A,FALSE,"Proforma IS";#N/A,#N/A,FALSE,"Assumptions"}</definedName>
    <definedName name="wrn.Board._.Reports." hidden="1">{#N/A,#N/A,FALSE,"M1s Board";#N/A,#N/A,FALSE,"M3 Board";#N/A,#N/A,FALSE,"M6 Board";#N/A,#N/A,FALSE,"M7";#N/A,#N/A,FALSE,"M7B";#N/A,#N/A,FALSE,"M8";#N/A,#N/A,FALSE,"M8A Board";#N/A,#N/A,FALSE,"AF1 Board"}</definedName>
    <definedName name="wrn.cellular." hidden="1">{#N/A,#N/A,TRUE,"TITLE";#N/A,#N/A,TRUE,"MKT Cellular Subs";#N/A,#N/A,TRUE,"Cellular sub ";#N/A,#N/A,TRUE,"P&amp;L - Cell";#N/A,#N/A,TRUE,"Rev &amp; Usage assump - Cell";#N/A,#N/A,TRUE,"Cost -  Cellular";"cellular",#N/A,TRUE,"Capex "}</definedName>
    <definedName name="wrn.client." hidden="1">{"multiple",#N/A,FALSE,"client";"margins",#N/A,FALSE,"client";"data",#N/A,FALSE,"client"}</definedName>
    <definedName name="wrn.Client3." hidden="1">{"data",#N/A,FALSE,"client (3)";"margins",#N/A,FALSE,"client (3)";"multiple",#N/A,FALSE,"client (3)"}</definedName>
    <definedName name="wrn.client4." hidden="1">{"multiple",#N/A,FALSE,"client (4)";"margins",#N/A,FALSE,"client (4)";"data",#N/A,FALSE,"client (4)"}</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OMBINED." hidden="1">{#N/A,#N/A,FALSE,"INPUTS";#N/A,#N/A,FALSE,"PROFORMA BSHEET";#N/A,#N/A,FALSE,"COMBINED";#N/A,#N/A,FALSE,"HIGH YIELD";#N/A,#N/A,FALSE,"COMB_GRAPHS"}</definedName>
    <definedName name="wrn.compco." hidden="1">{"mult96",#N/A,FALSE,"PETCOMP";"est96",#N/A,FALSE,"PETCOMP";"mult95",#N/A,FALSE,"PETCOMP";"est95",#N/A,FALSE,"PETCOMP";"multltm",#N/A,FALSE,"PETCOMP";"resultltm",#N/A,FALSE,"PETCOMP"}</definedName>
    <definedName name="wrn.Complete._.Report." hidden="1">{#N/A,#N/A,FALSE,"Assumptions";#N/A,#N/A,FALSE,"Proforma IS";#N/A,#N/A,FALSE,"Cash Flows RLP";#N/A,#N/A,FALSE,"IRR";#N/A,#N/A,FALSE,"New Depr Sch-150% DB";#N/A,#N/A,FALSE,"Comments"}</definedName>
    <definedName name="wrn.CONSOLIDATION." hidden="1">{"PAGE1",#N/A,FALSE,"Consolidation";"PAGE2",#N/A,FALSE,"Consolidation";"PAGE3",#N/A,FALSE,"Consolidation";"PAGE4",#N/A,FALSE,"Consolidation";"PAGE5",#N/A,FALSE,"Consolidation";"PAGE6",#N/A,FALSE,"Consolidation";"PAGE7",#N/A,FALSE,"Consolidation"}</definedName>
    <definedName name="wrn.DCF_Terminal_Value_qchm." hidden="1">{"qchm_dcf",#N/A,FALSE,"QCHMDCF2";"qchm_terminal",#N/A,FALSE,"QCHMDCF2"}</definedName>
    <definedName name="wrn.dcf." hidden="1">{"mgmt forecast",#N/A,FALSE,"Mgmt Forecast";"dcf table",#N/A,FALSE,"Mgmt Forecast";"sensitivity",#N/A,FALSE,"Mgmt Forecast";"table inputs",#N/A,FALSE,"Mgmt Forecast";"calculations",#N/A,FALSE,"Mgmt Forecast"}</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onomic._.Value._.Added._.Analysis." hidden="1">{"EVA",#N/A,FALSE,"EVA";"WACC",#N/A,FALSE,"WACC"}</definedName>
    <definedName name="wrn.EO." hidden="1">{#N/A,#N/A,TRUE,"TITLE";#N/A,#N/A,TRUE,"Macro assumptions";#N/A,#N/A,TRUE,"Line roll out schedule";#N/A,#N/A,TRUE,"P&amp;L 109";#N/A,#N/A,TRUE,"EO109 BIZ ";#N/A,#N/A,TRUE,"Rev - 109";#N/A,#N/A,TRUE,"Costs-109";#N/A,#N/A,TRUE,"Capex - 109";#N/A,#N/A,TRUE,"Revenue shares"}</definedName>
    <definedName name="wrn.External." hidden="1">{"External_Annual_Income",#N/A,FALSE,"External";"External_Quarterly_Income",#N/A,FALSE,"External"}</definedName>
    <definedName name="wrn.external.2" hidden="1">{"External_Annual_Income",#N/A,FALSE,"External";"External_Quarterly_Income",#N/A,FALSE,"External"}</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ull._.report." hidden="1">{"multiple",#N/A,FALSE,"client (2)";"margins",#N/A,FALSE,"client (2)";"data",#N/A,FALSE,"client (2)";"multiple",#N/A,FALSE,"client";"margins",#N/A,FALSE,"client";"data",#N/A,FALSE,"client"}</definedName>
    <definedName name="wrn.Global._.CompCo." hidden="1">{"Outputs",#N/A,TRUE,"North America";"Outputs",#N/A,TRUE,"Europe";"Outputs",#N/A,TRUE,"Asia Pacific";"Outputs",#N/A,TRUE,"Latin America";"Outputs",#N/A,TRUE,"Wireless"}</definedName>
    <definedName name="wrn.GRAPHS." hidden="1">{#N/A,#N/A,FALSE,"ACQ_GRAPHS";#N/A,#N/A,FALSE,"T_1 GRAPHS";#N/A,#N/A,FALSE,"T_2 GRAPHS";#N/A,#N/A,FALSE,"COMB_GRAPHS"}</definedName>
    <definedName name="wrn.Income._.Statement." hidden="1">{#N/A,#N/A,FALSE,"Report Print"}</definedName>
    <definedName name="wrn.Inputs." hidden="1">{"Inputs",#N/A,TRUE,"North America";"Inputs",#N/A,TRUE,"Europe";"Inputs",#N/A,TRUE,"Asia Pacific";"Inputs",#N/A,TRUE,"Latin America";"Inputs",#N/A,TRUE,"Wireless"}</definedName>
    <definedName name="wrn.IPIX." hidden="1">{#N/A,#N/A,FALSE,"Report Print"}</definedName>
    <definedName name="wrn.IPO._.Valuation." hidden="1">{"assumptions",#N/A,FALSE,"Scenario 1";"valuation",#N/A,FALSE,"Scenario 1"}</definedName>
    <definedName name="wrn.LBO._.Summary." hidden="1">{"LBO Summary",#N/A,FALSE,"Summary"}</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ster_Income." hidden="1">{"Annual_Income",#N/A,FALSE,"Master Model";"Quarterly_Income",#N/A,FALSE,"Master Model"}</definedName>
    <definedName name="wrn.model." hidden="1">{"basic",#N/A,FALSE,"BASIC"}</definedName>
    <definedName name="wrn.OUTPUT." hidden="1">{"DCF","UPSIDE CASE",FALSE,"Sheet1";"DCF","BASE CASE",FALSE,"Sheet1";"DCF","DOWNSIDE CASE",FALSE,"Sheet1"}</definedName>
    <definedName name="wrn.paging." hidden="1">{"paging",#N/A,TRUE,"TITLE";#N/A,#N/A,TRUE,"Paging subs";#N/A,#N/A,TRUE,"P&amp;L - Paging";#N/A,#N/A,TRUE,"Rev &amp; Usage Assump - Paging";#N/A,#N/A,TRUE,"Cost - Paging";"paging",#N/A,TRUE,"Capex "}</definedName>
    <definedName name="wrn.PEWC1." hidden="1">{"Graphic",#N/A,TRUE,"Graphic"}</definedName>
    <definedName name="wrn.print." hidden="1">{#N/A,#N/A,FALSE,"Japan 2003";#N/A,#N/A,FALSE,"Sheet2"}</definedName>
    <definedName name="wrn.Print._.all." hidden="1">{#N/A,#N/A,FALSE,"DCF";#N/A,#N/A,FALSE,"P&amp;L";#N/A,#N/A,FALSE,"BS";#N/A,#N/A,FALSE,"CF";#N/A,#N/A,FALSE,"debt schedule";#N/A,#N/A,FALSE,"WorkCap";#N/A,#N/A,FALSE,"ETACS";#N/A,#N/A,FALSE,"GSM";#N/A,#N/A,FALSE,"LEC";#N/A,#N/A,FALSE,"IGF";#N/A,#N/A,FALSE,"Expenses";#N/A,#N/A,FALSE,"Labour Expenses";#N/A,#N/A,FALSE,"Capex&amp;Depn";#N/A,#N/A,FALSE,"Fixed assets";#N/A,#N/A,FALSE,"WACC_Fixed";#N/A,#N/A,FALSE,"WACC_Cel"}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graphs." hidden="1">{"cap_structure",#N/A,FALSE,"Graph-Mkt Cap";"price",#N/A,FALSE,"Graph-Price";"ebit",#N/A,FALSE,"Graph-EBITDA";"ebitda",#N/A,FALSE,"Graph-EBITDA"}</definedName>
    <definedName name="wrn.Print._.Model."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raw._.data._.entry." hidden="1">{"inputs raw data",#N/A,TRUE,"INPUT"}</definedName>
    <definedName name="wrn.print._.summary._.sheets." hidden="1">{"summary1",#N/A,TRUE,"Comps";"summary2",#N/A,TRUE,"Comps";"summary3",#N/A,TRUE,"Comps"}</definedName>
    <definedName name="wrn.Print._.whole._.Report."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2." hidden="1">{#N/A,#N/A,TRUE,"Cover";#N/A,#N/A,TRUE,"Val Summary i";#N/A,#N/A,TRUE,"Value";#N/A,#N/A,TRUE,"Summary";#N/A,#N/A,TRUE,"Transactions"}</definedName>
    <definedName name="wrn.rep_page." hidden="1">{"Annual_Income",#N/A,FALSE,"Report Page";"Balance_Cash_Flow",#N/A,FALSE,"Report Page";"Quarterly_Income",#N/A,FALSE,"Report Page"}</definedName>
    <definedName name="wrn.Report_Page." hidden="1">{"Annual_Income",#N/A,FALSE,"Report Page";"Balance_Cash_Flow",#N/A,FALSE,"Report Page";"Quarterly_Income",#N/A,FALSE,"Report Page"}</definedName>
    <definedName name="wrn.report." hidden="1">{#N/A,#N/A,FALSE,"tax";#N/A,#N/A,FALSE,"Sheet2 (3)";#N/A,#N/A,FALSE,"wip";#N/A,#N/A,FALSE,"Sheet4"}</definedName>
    <definedName name="wrn.RTS." hidden="1">{"rts",#N/A,TRUE,"TITLE";#N/A,#N/A,TRUE,"P&amp;L - RTS";#N/A,#N/A,TRUE,"RTS biz";#N/A,#N/A,TRUE,"Cost - RTS";"RTS",#N/A,TRUE,"Capex "}</definedName>
    <definedName name="wrn.summary." hidden="1">{"financials",#N/A,FALSE,"BASIC"}</definedName>
    <definedName name="wrn.TARGET._.DCF." hidden="1">{"targetdcf",#N/A,FALSE,"Merger consequences";"TARGETASSU",#N/A,FALSE,"Merger consequences";"TERMINAL VALUE",#N/A,FALSE,"Merger consequences"}</definedName>
    <definedName name="wrn.Telstra._.Inputs." hidden="1">{"Inputs",#N/A,FALSE,"US_FL";"Inputs",#N/A,FALSE,"EUROPE_FL";"Inputs",#N/A,FALSE,"ASIA_FL"}</definedName>
    <definedName name="wrn.Telstra._.Output." hidden="1">{"Output",#N/A,FALSE,"US_FL";"Output",#N/A,FALSE,"EUROPE_FL";"Output",#N/A,FALSE,"ASIA_FL"}</definedName>
    <definedName name="wrn.Total._.Print."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VALUATION." hidden="1">{#N/A,#N/A,FALSE,"Valuation Assumptions";#N/A,#N/A,FALSE,"Summary";#N/A,#N/A,FALSE,"DCF";#N/A,#N/A,FALSE,"Valuation";#N/A,#N/A,FALSE,"WACC";#N/A,#N/A,FALSE,"UBVH";#N/A,#N/A,FALSE,"Free Cash Flow"}</definedName>
    <definedName name="wrn.Valuation._.Summaries." hidden="1">{#N/A,#N/A,FALSE,"Cover Sheet";#N/A,#N/A,FALSE,"Financial Assumptions";#N/A,#N/A,FALSE,"DCFOverviewPower";#N/A,#N/A,FALSE,"DCFOverviewGas";#N/A,#N/A,FALSE,"DCFOverviewWater";#N/A,#N/A,FALSE,"DCFOverviewVersorgung"}</definedName>
    <definedName name="wrn.Versorgungs._.GmbH._.Data." hidden="1">{#N/A,#N/A,FALSE,"DCFCoverVersorgung";#N/A,#N/A,FALSE,"DCFOverviewVersorgung";#N/A,#N/A,FALSE,"PlanVersorgung";#N/A,#N/A,FALSE,"DCFVersorgung";#N/A,#N/A,FALSE,"ValueVersorgung";#N/A,#N/A,FALSE,"WaccVersorgung";#N/A,#N/A,FALSE,"WaccVersorgung";#N/A,#N/A,FALSE,"WaccCompVersorgung";#N/A,#N/A,FALSE,"MatrixVersorgung"}</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 hidden="1">{"DCF","UPSIDE CASE",FALSE,"Sheet1";"DCF","BASE CASE",FALSE,"Sheet1";"DCF","DOWNSIDE CASE",FALSE,"Sheet1"}</definedName>
    <definedName name="X" hidden="1">{#N/A,#N/A,FALSE,"Model Assumptions"}</definedName>
    <definedName name="XREF_COLUMN_1" hidden="1">#REF!</definedName>
    <definedName name="XREF_COLUMN_2" hidden="1">#REF!</definedName>
    <definedName name="XREF_COLUMN_3" hidden="1">#REF!</definedName>
    <definedName name="XREF_COLUMN_4" hidden="1">#REF!</definedName>
    <definedName name="XRefActiveRow" hidden="1">#REF!</definedName>
    <definedName name="XRefColumnsCount" hidden="1">3</definedName>
    <definedName name="XRefCopy1" hidden="1">#REF!</definedName>
    <definedName name="XRefCopy10" hidden="1">#REF!</definedName>
    <definedName name="XRefCopy11" hidden="1">#REF!</definedName>
    <definedName name="XRefCopy12" hidden="1">#REF!</definedName>
    <definedName name="XRefCopy13" hidden="1">#REF!</definedName>
    <definedName name="XRefCopy14" hidden="1">#REF!</definedName>
    <definedName name="XRefCopy15"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RangeCount" hidden="1">8</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7" hidden="1">#REF!</definedName>
    <definedName name="XRefPaste8" hidden="1">#REF!</definedName>
    <definedName name="XRefPaste9" hidden="1">#REF!</definedName>
    <definedName name="XRefPasteRangeCount" hidden="1">4</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x" hidden="1">{"M2Print",#N/A,FALSE,"M2"}</definedName>
    <definedName name="苛" hidden="1">{"M1sPrint",#N/A,FALSE,"M1s"}</definedName>
  </definedNames>
  <calcPr calcId="191028" iterate="1" concurrentCalc="0"/>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54" l="1"/>
  <c r="H13" i="54"/>
  <c r="I13" i="54"/>
  <c r="J13" i="54"/>
  <c r="F13" i="54"/>
  <c r="G12" i="54"/>
  <c r="H12" i="54"/>
  <c r="I12" i="54"/>
  <c r="J12" i="54"/>
  <c r="F12" i="54"/>
  <c r="G14" i="55"/>
  <c r="H14" i="55"/>
  <c r="I14" i="55"/>
  <c r="J14" i="55"/>
  <c r="K14" i="55"/>
  <c r="L14" i="55"/>
  <c r="M14" i="55"/>
  <c r="N14" i="55"/>
  <c r="O14" i="55"/>
  <c r="F14" i="55"/>
  <c r="G16" i="55"/>
  <c r="H16" i="55"/>
  <c r="I16" i="55"/>
  <c r="J16" i="55"/>
  <c r="F16" i="55"/>
  <c r="G18" i="55"/>
  <c r="H18" i="55"/>
  <c r="I18" i="55"/>
  <c r="J18" i="55"/>
  <c r="K18" i="55"/>
  <c r="L18" i="55"/>
  <c r="M18" i="55"/>
  <c r="N18" i="55"/>
  <c r="O18" i="55"/>
  <c r="F18" i="55"/>
  <c r="G20" i="55"/>
  <c r="H20" i="55"/>
  <c r="I20" i="55"/>
  <c r="J20" i="55"/>
  <c r="F20" i="55"/>
  <c r="G112" i="49"/>
  <c r="I112" i="49"/>
  <c r="J112" i="49"/>
  <c r="F112" i="49"/>
  <c r="G24" i="17"/>
  <c r="K35" i="24"/>
  <c r="D4" i="24"/>
  <c r="K34" i="24"/>
  <c r="L36" i="24"/>
  <c r="L35" i="24"/>
  <c r="L37" i="24"/>
  <c r="L34" i="24"/>
  <c r="M36" i="24"/>
  <c r="M35" i="24"/>
  <c r="M37" i="24"/>
  <c r="M34" i="24"/>
  <c r="N36" i="24"/>
  <c r="N35" i="24"/>
  <c r="N37" i="24"/>
  <c r="N34" i="24"/>
  <c r="O36" i="24"/>
  <c r="K29" i="24"/>
  <c r="K28" i="24"/>
  <c r="L30" i="24"/>
  <c r="L29" i="24"/>
  <c r="L31" i="24"/>
  <c r="L28" i="24"/>
  <c r="M30" i="24"/>
  <c r="M29" i="24"/>
  <c r="M31" i="24"/>
  <c r="M28" i="24"/>
  <c r="N30" i="24"/>
  <c r="N29" i="24"/>
  <c r="N31" i="24"/>
  <c r="N28" i="24"/>
  <c r="O30" i="24"/>
  <c r="F5" i="14"/>
  <c r="N25" i="14"/>
  <c r="M25" i="14"/>
  <c r="L25" i="14"/>
  <c r="L24" i="14"/>
  <c r="M24" i="14"/>
  <c r="N24" i="14"/>
  <c r="N12" i="14"/>
  <c r="L11" i="17"/>
  <c r="N32" i="14"/>
  <c r="M32" i="14"/>
  <c r="L32" i="14"/>
  <c r="L31" i="14"/>
  <c r="M31" i="14"/>
  <c r="N31" i="14"/>
  <c r="N13" i="14"/>
  <c r="L12" i="17"/>
  <c r="L13" i="17"/>
  <c r="M12" i="24"/>
  <c r="M27" i="24"/>
  <c r="L22" i="17"/>
  <c r="M33" i="24"/>
  <c r="L23" i="17"/>
  <c r="F39" i="24"/>
  <c r="E13" i="17"/>
  <c r="F12" i="24"/>
  <c r="F40" i="24"/>
  <c r="G39" i="24"/>
  <c r="F13" i="17"/>
  <c r="G12" i="24"/>
  <c r="G40" i="24"/>
  <c r="H39" i="24"/>
  <c r="G13" i="17"/>
  <c r="H12" i="24"/>
  <c r="H40" i="24"/>
  <c r="K42" i="24"/>
  <c r="L42" i="24"/>
  <c r="M42" i="24"/>
  <c r="M41" i="24"/>
  <c r="M40" i="24"/>
  <c r="M39" i="24"/>
  <c r="L24" i="17"/>
  <c r="L25" i="17"/>
  <c r="K19" i="24"/>
  <c r="K18" i="24"/>
  <c r="L20" i="24"/>
  <c r="L19" i="24"/>
  <c r="L21" i="24"/>
  <c r="L18" i="24"/>
  <c r="M20" i="24"/>
  <c r="M19" i="24"/>
  <c r="M21" i="24"/>
  <c r="M18" i="24"/>
  <c r="M17" i="24"/>
  <c r="L16" i="17"/>
  <c r="L17" i="17"/>
  <c r="L26" i="17"/>
  <c r="L41" i="24"/>
  <c r="N42" i="24"/>
  <c r="N41" i="24"/>
  <c r="O42" i="24"/>
  <c r="O41" i="24"/>
  <c r="K41" i="24"/>
  <c r="K43" i="24"/>
  <c r="L43" i="24"/>
  <c r="M43" i="24"/>
  <c r="N43" i="24"/>
  <c r="O43" i="24"/>
  <c r="F25" i="17"/>
  <c r="F17" i="17"/>
  <c r="F26" i="17"/>
  <c r="G25" i="17"/>
  <c r="G17" i="17"/>
  <c r="G26" i="17"/>
  <c r="H25" i="17"/>
  <c r="H13" i="17"/>
  <c r="H17" i="17"/>
  <c r="H26" i="17"/>
  <c r="I25" i="17"/>
  <c r="I13" i="17"/>
  <c r="I17" i="17"/>
  <c r="I26" i="17"/>
  <c r="L12" i="14"/>
  <c r="J11" i="17"/>
  <c r="L13" i="14"/>
  <c r="J12" i="17"/>
  <c r="J13" i="17"/>
  <c r="K12" i="24"/>
  <c r="K27" i="24"/>
  <c r="J22" i="17"/>
  <c r="K33" i="24"/>
  <c r="J23" i="17"/>
  <c r="K40" i="24"/>
  <c r="K39" i="24"/>
  <c r="J24" i="17"/>
  <c r="J25" i="17"/>
  <c r="K17" i="24"/>
  <c r="J16" i="17"/>
  <c r="J17" i="17"/>
  <c r="J26" i="17"/>
  <c r="M12" i="14"/>
  <c r="K11" i="17"/>
  <c r="M13" i="14"/>
  <c r="K12" i="17"/>
  <c r="K13" i="17"/>
  <c r="L12" i="24"/>
  <c r="L27" i="24"/>
  <c r="K22" i="17"/>
  <c r="L33" i="24"/>
  <c r="K23" i="17"/>
  <c r="L40" i="24"/>
  <c r="L39" i="24"/>
  <c r="K24" i="17"/>
  <c r="K25" i="17"/>
  <c r="L17" i="24"/>
  <c r="K16" i="17"/>
  <c r="K17" i="17"/>
  <c r="K26" i="17"/>
  <c r="O25" i="14"/>
  <c r="O24" i="14"/>
  <c r="O12" i="14"/>
  <c r="M11" i="17"/>
  <c r="O32" i="14"/>
  <c r="O31" i="14"/>
  <c r="O13" i="14"/>
  <c r="M12" i="17"/>
  <c r="M13" i="17"/>
  <c r="N12" i="24"/>
  <c r="N27" i="24"/>
  <c r="M22" i="17"/>
  <c r="N33" i="24"/>
  <c r="M23" i="17"/>
  <c r="N40" i="24"/>
  <c r="N39" i="24"/>
  <c r="M24" i="17"/>
  <c r="M25" i="17"/>
  <c r="N20" i="24"/>
  <c r="N19" i="24"/>
  <c r="N21" i="24"/>
  <c r="N18" i="24"/>
  <c r="N17" i="24"/>
  <c r="M16" i="17"/>
  <c r="M17" i="17"/>
  <c r="M26" i="17"/>
  <c r="O29" i="24"/>
  <c r="O31" i="24"/>
  <c r="O28" i="24"/>
  <c r="P25" i="14"/>
  <c r="P24" i="14"/>
  <c r="P12" i="14"/>
  <c r="N11" i="17"/>
  <c r="P32" i="14"/>
  <c r="P31" i="14"/>
  <c r="P13" i="14"/>
  <c r="N12" i="17"/>
  <c r="N13" i="17"/>
  <c r="O12" i="24"/>
  <c r="O27" i="24"/>
  <c r="N22" i="17"/>
  <c r="O35" i="24"/>
  <c r="O37" i="24"/>
  <c r="O34" i="24"/>
  <c r="O33" i="24"/>
  <c r="N23" i="17"/>
  <c r="O40" i="24"/>
  <c r="O39" i="24"/>
  <c r="N24" i="17"/>
  <c r="N25" i="17"/>
  <c r="O20" i="24"/>
  <c r="O19" i="24"/>
  <c r="O21" i="24"/>
  <c r="O18" i="24"/>
  <c r="O17" i="24"/>
  <c r="N16" i="17"/>
  <c r="N17" i="17"/>
  <c r="N26" i="17"/>
  <c r="E25" i="17"/>
  <c r="E17" i="17"/>
  <c r="E26" i="17"/>
  <c r="O20" i="14"/>
  <c r="L20" i="14"/>
  <c r="F7" i="49"/>
  <c r="I9" i="49"/>
  <c r="J9" i="49"/>
  <c r="K9" i="49"/>
  <c r="L9" i="49"/>
  <c r="M9" i="49"/>
  <c r="N9" i="49"/>
  <c r="O9" i="49"/>
  <c r="P9" i="49"/>
  <c r="Q9" i="49"/>
  <c r="F95" i="49"/>
  <c r="G95" i="49"/>
  <c r="K13" i="55"/>
  <c r="J13" i="55"/>
  <c r="I8" i="58"/>
  <c r="I9" i="58"/>
  <c r="I10" i="58"/>
  <c r="I11" i="58"/>
  <c r="I12" i="58"/>
  <c r="I13" i="58"/>
  <c r="I14" i="58"/>
  <c r="I15" i="58"/>
  <c r="I16" i="58"/>
  <c r="I17" i="58"/>
  <c r="I18" i="58"/>
  <c r="I19" i="58"/>
  <c r="I20" i="58"/>
  <c r="I21" i="58"/>
  <c r="I22" i="58"/>
  <c r="I23" i="58"/>
  <c r="I24" i="58"/>
  <c r="I25" i="58"/>
  <c r="I26" i="58"/>
  <c r="I27" i="58"/>
  <c r="I28" i="58"/>
  <c r="I29" i="58"/>
  <c r="I30" i="58"/>
  <c r="I31" i="58"/>
  <c r="I32" i="58"/>
  <c r="I33" i="58"/>
  <c r="I34" i="58"/>
  <c r="I35" i="58"/>
  <c r="I36" i="58"/>
  <c r="I37" i="58"/>
  <c r="I38" i="58"/>
  <c r="I39" i="58"/>
  <c r="I40" i="58"/>
  <c r="I41" i="58"/>
  <c r="I42" i="58"/>
  <c r="I43" i="58"/>
  <c r="I44" i="58"/>
  <c r="I45" i="58"/>
  <c r="I46" i="58"/>
  <c r="I47" i="58"/>
  <c r="I48" i="58"/>
  <c r="I49" i="58"/>
  <c r="I50" i="58"/>
  <c r="I51" i="58"/>
  <c r="I52" i="58"/>
  <c r="I53" i="58"/>
  <c r="I54" i="58"/>
  <c r="I55" i="58"/>
  <c r="I56" i="58"/>
  <c r="I57" i="58"/>
  <c r="I58" i="58"/>
  <c r="I59" i="58"/>
  <c r="I60" i="58"/>
  <c r="I61" i="58"/>
  <c r="I62" i="58"/>
  <c r="I63" i="58"/>
  <c r="I64" i="58"/>
  <c r="I65" i="58"/>
  <c r="I66" i="58"/>
  <c r="I67" i="58"/>
  <c r="I68" i="58"/>
  <c r="I69" i="58"/>
  <c r="I70" i="58"/>
  <c r="I71" i="58"/>
  <c r="I72" i="58"/>
  <c r="I73" i="58"/>
  <c r="I74" i="58"/>
  <c r="I75" i="58"/>
  <c r="I76" i="58"/>
  <c r="I77" i="58"/>
  <c r="I78" i="58"/>
  <c r="I79" i="58"/>
  <c r="I80" i="58"/>
  <c r="I81" i="58"/>
  <c r="I82" i="58"/>
  <c r="I83" i="58"/>
  <c r="I84" i="58"/>
  <c r="I85" i="58"/>
  <c r="I86" i="58"/>
  <c r="I87" i="58"/>
  <c r="I88" i="58"/>
  <c r="I89" i="58"/>
  <c r="I90" i="58"/>
  <c r="I91" i="58"/>
  <c r="I92" i="58"/>
  <c r="I93" i="58"/>
  <c r="I94" i="58"/>
  <c r="I95" i="58"/>
  <c r="I96" i="58"/>
  <c r="I97" i="58"/>
  <c r="I98" i="58"/>
  <c r="I99" i="58"/>
  <c r="I7" i="58"/>
  <c r="V12" i="55"/>
  <c r="W12" i="55"/>
  <c r="X12" i="55"/>
  <c r="Y12" i="55"/>
  <c r="V13" i="55"/>
  <c r="W13" i="55"/>
  <c r="X13" i="55"/>
  <c r="Y13" i="55"/>
  <c r="V14" i="55"/>
  <c r="W14" i="55"/>
  <c r="X14" i="55"/>
  <c r="Y14" i="55"/>
  <c r="F37" i="17"/>
  <c r="F40" i="17"/>
  <c r="V15" i="55"/>
  <c r="G37" i="17"/>
  <c r="G40" i="17"/>
  <c r="W15" i="55"/>
  <c r="H37" i="17"/>
  <c r="H40" i="17"/>
  <c r="X15" i="55"/>
  <c r="I37" i="17"/>
  <c r="I40" i="17"/>
  <c r="Y15" i="55"/>
  <c r="E37" i="17"/>
  <c r="E40" i="17"/>
  <c r="U15" i="55"/>
  <c r="U14" i="55"/>
  <c r="U13" i="55"/>
  <c r="U12" i="55"/>
  <c r="V11" i="55"/>
  <c r="W11" i="55"/>
  <c r="X11" i="55"/>
  <c r="Y11" i="55"/>
  <c r="U11" i="55"/>
  <c r="U17" i="55"/>
  <c r="U19" i="55"/>
  <c r="T5" i="55"/>
  <c r="V7" i="55"/>
  <c r="W7" i="55"/>
  <c r="X7" i="55"/>
  <c r="Y7" i="55"/>
  <c r="Z7" i="55"/>
  <c r="AA7" i="55"/>
  <c r="AB7" i="55"/>
  <c r="AC7" i="55"/>
  <c r="AD7" i="55"/>
  <c r="L59" i="24"/>
  <c r="M59" i="24"/>
  <c r="N59" i="24"/>
  <c r="O59" i="24"/>
  <c r="L53" i="24"/>
  <c r="M53" i="24"/>
  <c r="N53" i="24"/>
  <c r="O53" i="24"/>
  <c r="H19" i="55"/>
  <c r="G19" i="55"/>
  <c r="I19" i="55"/>
  <c r="J19" i="55"/>
  <c r="F19" i="55"/>
  <c r="H11" i="55"/>
  <c r="G11" i="55"/>
  <c r="H12" i="55"/>
  <c r="I11" i="55"/>
  <c r="I12" i="55"/>
  <c r="J11" i="55"/>
  <c r="J12" i="55"/>
  <c r="F11" i="55"/>
  <c r="G12" i="55"/>
  <c r="G17" i="55"/>
  <c r="H17" i="55"/>
  <c r="I17" i="55"/>
  <c r="J17" i="55"/>
  <c r="F17" i="55"/>
  <c r="H102" i="49"/>
  <c r="G102" i="49"/>
  <c r="F102" i="49"/>
  <c r="E115" i="49"/>
  <c r="E116" i="49"/>
  <c r="E117" i="49"/>
  <c r="J23" i="57"/>
  <c r="E105" i="49"/>
  <c r="E106" i="49"/>
  <c r="E107" i="49"/>
  <c r="H19" i="57"/>
  <c r="H20" i="57"/>
  <c r="E81" i="49"/>
  <c r="Q16" i="57"/>
  <c r="O16" i="57"/>
  <c r="M16" i="57"/>
  <c r="K16" i="57"/>
  <c r="R29" i="55"/>
  <c r="R30" i="55"/>
  <c r="S29" i="55"/>
  <c r="S30" i="55"/>
  <c r="Q29" i="55"/>
  <c r="Q30" i="55"/>
  <c r="R26" i="55"/>
  <c r="S26" i="55"/>
  <c r="T26" i="55"/>
  <c r="N28" i="55"/>
  <c r="N23" i="57"/>
  <c r="Q13" i="57"/>
  <c r="J12" i="57"/>
  <c r="K12" i="57"/>
  <c r="J14" i="57"/>
  <c r="Q14" i="57"/>
  <c r="Q15" i="57"/>
  <c r="K13" i="57"/>
  <c r="M13" i="57"/>
  <c r="O13" i="57"/>
  <c r="P19" i="57"/>
  <c r="K23" i="57"/>
  <c r="J19" i="57"/>
  <c r="K15" i="57"/>
  <c r="L19" i="57"/>
  <c r="M12" i="57"/>
  <c r="M15" i="57"/>
  <c r="N19" i="57"/>
  <c r="O12" i="57"/>
  <c r="O15" i="57"/>
  <c r="L20" i="57"/>
  <c r="N20" i="57"/>
  <c r="P20" i="57"/>
  <c r="I20" i="57"/>
  <c r="I19" i="57"/>
  <c r="F27" i="49"/>
  <c r="E71" i="49"/>
  <c r="F30" i="49"/>
  <c r="F24" i="49"/>
  <c r="F33" i="49"/>
  <c r="L28" i="55"/>
  <c r="M28" i="55"/>
  <c r="K28" i="55"/>
  <c r="O24" i="55"/>
  <c r="L23" i="55"/>
  <c r="M23" i="55"/>
  <c r="N23" i="55"/>
  <c r="L26" i="55"/>
  <c r="M26" i="55"/>
  <c r="N26" i="55"/>
  <c r="F26" i="49"/>
  <c r="E72" i="49"/>
  <c r="E90" i="49"/>
  <c r="E74" i="49"/>
  <c r="E56" i="17"/>
  <c r="E77" i="17"/>
  <c r="H48" i="49"/>
  <c r="N24" i="57"/>
  <c r="J24" i="57"/>
  <c r="O24" i="57"/>
  <c r="G5" i="57"/>
  <c r="H42" i="49"/>
  <c r="H52" i="49"/>
  <c r="I44" i="49"/>
  <c r="I54" i="49"/>
  <c r="H44" i="49"/>
  <c r="H54" i="49"/>
  <c r="F56" i="17"/>
  <c r="F77" i="17"/>
  <c r="I48" i="49"/>
  <c r="H40" i="49"/>
  <c r="H53" i="49"/>
  <c r="F23" i="49"/>
  <c r="G13" i="55"/>
  <c r="H13" i="55"/>
  <c r="I13" i="55"/>
  <c r="G15" i="55"/>
  <c r="H15" i="55"/>
  <c r="I15" i="55"/>
  <c r="J15" i="55"/>
  <c r="F15" i="55"/>
  <c r="F13" i="55"/>
  <c r="G7" i="55"/>
  <c r="H7" i="55"/>
  <c r="I7" i="55"/>
  <c r="J7" i="55"/>
  <c r="K7" i="55"/>
  <c r="L7" i="55"/>
  <c r="M7" i="55"/>
  <c r="N7" i="55"/>
  <c r="O7" i="55"/>
  <c r="E5" i="55"/>
  <c r="H15" i="54"/>
  <c r="H16" i="54"/>
  <c r="H31" i="54"/>
  <c r="H18" i="54"/>
  <c r="H32" i="54"/>
  <c r="H11" i="54"/>
  <c r="H33" i="54"/>
  <c r="F65" i="17"/>
  <c r="F67" i="17"/>
  <c r="G22" i="54"/>
  <c r="G65" i="17"/>
  <c r="G56" i="17"/>
  <c r="G67" i="17"/>
  <c r="H22" i="54"/>
  <c r="H23" i="54"/>
  <c r="F93" i="17"/>
  <c r="F95" i="17"/>
  <c r="G25" i="54"/>
  <c r="G93" i="17"/>
  <c r="G95" i="17"/>
  <c r="H25" i="54"/>
  <c r="H26" i="54"/>
  <c r="H35" i="54"/>
  <c r="H34" i="54"/>
  <c r="H37" i="54"/>
  <c r="I15" i="54"/>
  <c r="I16" i="54"/>
  <c r="I31" i="54"/>
  <c r="I18" i="54"/>
  <c r="I32" i="54"/>
  <c r="I11" i="54"/>
  <c r="I33" i="54"/>
  <c r="H65" i="17"/>
  <c r="H56" i="17"/>
  <c r="H67" i="17"/>
  <c r="I22" i="54"/>
  <c r="I23" i="54"/>
  <c r="H93" i="17"/>
  <c r="H95" i="17"/>
  <c r="I25" i="54"/>
  <c r="I26" i="54"/>
  <c r="I35" i="54"/>
  <c r="I34" i="54"/>
  <c r="I37" i="54"/>
  <c r="J15" i="54"/>
  <c r="J16" i="54"/>
  <c r="J31" i="54"/>
  <c r="J18" i="54"/>
  <c r="J32" i="54"/>
  <c r="J11" i="54"/>
  <c r="J33" i="54"/>
  <c r="I65" i="17"/>
  <c r="I56" i="17"/>
  <c r="I67" i="17"/>
  <c r="J22" i="54"/>
  <c r="J23" i="54"/>
  <c r="I93" i="17"/>
  <c r="I95" i="17"/>
  <c r="J25" i="54"/>
  <c r="J26" i="54"/>
  <c r="J35" i="54"/>
  <c r="J34" i="54"/>
  <c r="J37" i="54"/>
  <c r="G15" i="54"/>
  <c r="G16" i="54"/>
  <c r="G31" i="54"/>
  <c r="G18" i="54"/>
  <c r="G32" i="54"/>
  <c r="G11" i="54"/>
  <c r="G33" i="54"/>
  <c r="E65" i="17"/>
  <c r="E67" i="17"/>
  <c r="F22" i="54"/>
  <c r="G23" i="54"/>
  <c r="E93" i="17"/>
  <c r="E95" i="17"/>
  <c r="F25" i="54"/>
  <c r="G26" i="54"/>
  <c r="G35" i="54"/>
  <c r="G34" i="54"/>
  <c r="G37" i="54"/>
  <c r="F16" i="54"/>
  <c r="F11" i="54"/>
  <c r="F33" i="54"/>
  <c r="F18" i="54"/>
  <c r="F15" i="54"/>
  <c r="F32" i="54"/>
  <c r="F31" i="54"/>
  <c r="G14" i="54"/>
  <c r="H14" i="54"/>
  <c r="I14" i="54"/>
  <c r="J14" i="54"/>
  <c r="F14" i="54"/>
  <c r="G6" i="54"/>
  <c r="H6" i="54"/>
  <c r="I6" i="54"/>
  <c r="J6" i="54"/>
  <c r="K6" i="54"/>
  <c r="D4" i="54"/>
  <c r="L6" i="54"/>
  <c r="M6" i="54"/>
  <c r="N6" i="54"/>
  <c r="N34" i="14"/>
  <c r="O34" i="14"/>
  <c r="P34" i="14"/>
  <c r="M34" i="14"/>
  <c r="N27" i="14"/>
  <c r="O27" i="14"/>
  <c r="P27" i="14"/>
  <c r="M27" i="14"/>
  <c r="G77" i="17"/>
  <c r="J48" i="49"/>
  <c r="H77" i="17"/>
  <c r="K48" i="49"/>
  <c r="I77" i="17"/>
  <c r="L48" i="49"/>
  <c r="J44" i="49"/>
  <c r="J54" i="49"/>
  <c r="K44" i="49"/>
  <c r="K54" i="49"/>
  <c r="L44" i="49"/>
  <c r="L54" i="49"/>
  <c r="I42" i="49"/>
  <c r="I52" i="49"/>
  <c r="J42" i="49"/>
  <c r="J52" i="49"/>
  <c r="K42" i="49"/>
  <c r="K52" i="49"/>
  <c r="L42" i="49"/>
  <c r="L52" i="49"/>
  <c r="I40" i="49"/>
  <c r="I53" i="49"/>
  <c r="J40" i="49"/>
  <c r="J53" i="49"/>
  <c r="K40" i="49"/>
  <c r="K53" i="49"/>
  <c r="L40" i="49"/>
  <c r="L53" i="49"/>
  <c r="D10" i="50"/>
  <c r="D12" i="50"/>
  <c r="D13" i="50"/>
  <c r="F84" i="17"/>
  <c r="F86" i="17"/>
  <c r="F97" i="17"/>
  <c r="F98" i="17"/>
  <c r="G84" i="17"/>
  <c r="G86" i="17"/>
  <c r="G97" i="17"/>
  <c r="G98" i="17"/>
  <c r="H84" i="17"/>
  <c r="H86" i="17"/>
  <c r="H97" i="17"/>
  <c r="H98" i="17"/>
  <c r="I84" i="17"/>
  <c r="I86" i="17"/>
  <c r="I97" i="17"/>
  <c r="I98" i="17"/>
  <c r="E84" i="17"/>
  <c r="E86" i="17"/>
  <c r="E97" i="17"/>
  <c r="E98" i="17"/>
  <c r="H27" i="23"/>
  <c r="H30" i="23"/>
  <c r="I27" i="23"/>
  <c r="I30" i="23"/>
  <c r="J27" i="23"/>
  <c r="J30" i="23"/>
  <c r="K27" i="23"/>
  <c r="K30" i="23"/>
  <c r="L27" i="23"/>
  <c r="L30" i="23"/>
  <c r="M30" i="23"/>
  <c r="H55" i="49"/>
  <c r="O6" i="54"/>
  <c r="D11" i="50"/>
  <c r="G6" i="24"/>
  <c r="H6" i="24"/>
  <c r="I6" i="24"/>
  <c r="J6" i="24"/>
  <c r="K6" i="24"/>
  <c r="L6" i="24"/>
  <c r="M6" i="24"/>
  <c r="N6" i="24"/>
  <c r="O6" i="24"/>
  <c r="D4" i="17"/>
  <c r="F6" i="17"/>
  <c r="G6" i="17"/>
  <c r="H6" i="17"/>
  <c r="I6" i="17"/>
  <c r="J6" i="17"/>
  <c r="K6" i="17"/>
  <c r="L6" i="17"/>
  <c r="M6" i="17"/>
  <c r="N6" i="17"/>
  <c r="J94" i="17"/>
  <c r="K94" i="17"/>
  <c r="L94" i="17"/>
  <c r="M94" i="17"/>
  <c r="N94" i="17"/>
  <c r="L221" i="24"/>
  <c r="M221" i="24"/>
  <c r="N221" i="24"/>
  <c r="O221" i="24"/>
  <c r="K37" i="24"/>
  <c r="K31" i="24"/>
  <c r="K21" i="24"/>
  <c r="G33" i="24"/>
  <c r="H33" i="24"/>
  <c r="I33" i="24"/>
  <c r="J33" i="24"/>
  <c r="F33" i="24"/>
  <c r="G172" i="24"/>
  <c r="H172" i="24"/>
  <c r="I172" i="24"/>
  <c r="J172" i="24"/>
  <c r="F172" i="24"/>
  <c r="E147" i="17"/>
  <c r="F146" i="17"/>
  <c r="F147" i="17"/>
  <c r="G146" i="17"/>
  <c r="G147" i="17"/>
  <c r="H146" i="17"/>
  <c r="H147" i="17"/>
  <c r="I146" i="17"/>
  <c r="J92" i="17"/>
  <c r="K92" i="17"/>
  <c r="L92" i="17"/>
  <c r="M92" i="17"/>
  <c r="N92" i="17"/>
  <c r="N148" i="23"/>
  <c r="O148" i="23"/>
  <c r="P148" i="23"/>
  <c r="Q148" i="23"/>
  <c r="M148" i="23"/>
  <c r="I46" i="23"/>
  <c r="I47" i="23"/>
  <c r="I48" i="23"/>
  <c r="I50" i="23"/>
  <c r="I51" i="23"/>
  <c r="J45" i="23"/>
  <c r="K45" i="23"/>
  <c r="L45" i="23"/>
  <c r="J46" i="23"/>
  <c r="K46" i="23"/>
  <c r="L46" i="23"/>
  <c r="J47" i="23"/>
  <c r="K47" i="23"/>
  <c r="L47" i="23"/>
  <c r="J48" i="23"/>
  <c r="K48" i="23"/>
  <c r="L48" i="23"/>
  <c r="J50" i="23"/>
  <c r="K50" i="23"/>
  <c r="L50" i="23"/>
  <c r="J51" i="23"/>
  <c r="K51" i="23"/>
  <c r="L51" i="23"/>
  <c r="I176" i="23"/>
  <c r="J176" i="23"/>
  <c r="K176" i="23"/>
  <c r="L176" i="23"/>
  <c r="M174" i="23"/>
  <c r="H176" i="23"/>
  <c r="I159" i="23"/>
  <c r="J159" i="23"/>
  <c r="K159" i="23"/>
  <c r="L159" i="23"/>
  <c r="M156" i="23"/>
  <c r="H159" i="23"/>
  <c r="I149" i="23"/>
  <c r="J149" i="23"/>
  <c r="K149" i="23"/>
  <c r="L149" i="23"/>
  <c r="M147" i="23"/>
  <c r="H149" i="23"/>
  <c r="I132" i="23"/>
  <c r="J132" i="23"/>
  <c r="K132" i="23"/>
  <c r="L132" i="23"/>
  <c r="M129" i="23"/>
  <c r="F135" i="23"/>
  <c r="H132" i="23"/>
  <c r="I114" i="23"/>
  <c r="J114" i="23"/>
  <c r="K114" i="23"/>
  <c r="L114" i="23"/>
  <c r="M111" i="23"/>
  <c r="F117" i="23"/>
  <c r="H114" i="23"/>
  <c r="I96" i="23"/>
  <c r="J96" i="23"/>
  <c r="K96" i="23"/>
  <c r="L96" i="23"/>
  <c r="M93" i="23"/>
  <c r="F99" i="23"/>
  <c r="H96" i="23"/>
  <c r="I78" i="23"/>
  <c r="J78" i="23"/>
  <c r="K78" i="23"/>
  <c r="L78" i="23"/>
  <c r="M75" i="23"/>
  <c r="F81" i="23"/>
  <c r="H78" i="23"/>
  <c r="I45" i="23"/>
  <c r="I42" i="23"/>
  <c r="J42" i="23"/>
  <c r="K42" i="23"/>
  <c r="L42" i="23"/>
  <c r="H42" i="23"/>
  <c r="G16" i="23"/>
  <c r="G73" i="23"/>
  <c r="G85" i="23"/>
  <c r="G82" i="23"/>
  <c r="G81" i="23"/>
  <c r="G86" i="23"/>
  <c r="G83" i="23"/>
  <c r="G84" i="23"/>
  <c r="M72" i="33"/>
  <c r="G20" i="23"/>
  <c r="G21" i="23"/>
  <c r="G22" i="23"/>
  <c r="L28" i="14"/>
  <c r="M35" i="14"/>
  <c r="L35" i="14"/>
  <c r="L33" i="14"/>
  <c r="G172" i="23"/>
  <c r="G154" i="23"/>
  <c r="P35" i="14"/>
  <c r="N35" i="14"/>
  <c r="O35" i="14"/>
  <c r="G163" i="23"/>
  <c r="G162" i="23"/>
  <c r="G164" i="23"/>
  <c r="G167" i="23"/>
  <c r="G165" i="23"/>
  <c r="G166" i="23"/>
  <c r="N55" i="25"/>
  <c r="O55" i="25"/>
  <c r="P55" i="25"/>
  <c r="Q55" i="25"/>
  <c r="E4" i="33"/>
  <c r="E4" i="23"/>
  <c r="G4" i="25"/>
  <c r="G223" i="24"/>
  <c r="H223" i="24"/>
  <c r="I223" i="24"/>
  <c r="J223" i="24"/>
  <c r="F223" i="24"/>
  <c r="M77" i="25"/>
  <c r="F78" i="33"/>
  <c r="M54" i="33"/>
  <c r="F60" i="33"/>
  <c r="M46" i="33"/>
  <c r="J35" i="33"/>
  <c r="K35" i="33"/>
  <c r="L35" i="33"/>
  <c r="I35" i="33"/>
  <c r="J34" i="33"/>
  <c r="K34" i="33"/>
  <c r="L34" i="33"/>
  <c r="I34" i="33"/>
  <c r="I31" i="33"/>
  <c r="J31" i="33"/>
  <c r="K31" i="33"/>
  <c r="L31" i="33"/>
  <c r="H31" i="33"/>
  <c r="I10" i="33"/>
  <c r="J10" i="33"/>
  <c r="K10" i="33"/>
  <c r="L10" i="33"/>
  <c r="H10" i="33"/>
  <c r="I87" i="25"/>
  <c r="J84" i="25"/>
  <c r="J87" i="25"/>
  <c r="K84" i="25"/>
  <c r="K87" i="25"/>
  <c r="L84" i="25"/>
  <c r="L87" i="25"/>
  <c r="M84" i="25"/>
  <c r="H87" i="25"/>
  <c r="I84" i="25"/>
  <c r="I36" i="33"/>
  <c r="I23" i="33"/>
  <c r="L36" i="33"/>
  <c r="L39" i="33"/>
  <c r="K36" i="33"/>
  <c r="K23" i="33"/>
  <c r="L23" i="33"/>
  <c r="L40" i="33"/>
  <c r="J36" i="33"/>
  <c r="J23" i="33"/>
  <c r="G18" i="33"/>
  <c r="G70" i="33"/>
  <c r="G52" i="33"/>
  <c r="I72" i="25"/>
  <c r="J72" i="25"/>
  <c r="K72" i="25"/>
  <c r="L72" i="25"/>
  <c r="H72" i="25"/>
  <c r="G220" i="24"/>
  <c r="H220" i="24"/>
  <c r="I220" i="24"/>
  <c r="J220" i="24"/>
  <c r="F220" i="24"/>
  <c r="G82" i="33"/>
  <c r="G79" i="33"/>
  <c r="G83" i="33"/>
  <c r="G78" i="33"/>
  <c r="G81" i="33"/>
  <c r="G80" i="33"/>
  <c r="K39" i="33"/>
  <c r="K40" i="33"/>
  <c r="M40" i="33"/>
  <c r="N40" i="33"/>
  <c r="O40" i="33"/>
  <c r="P40" i="33"/>
  <c r="Q40" i="33"/>
  <c r="L41" i="33"/>
  <c r="I41" i="33"/>
  <c r="G64" i="33"/>
  <c r="G61" i="33"/>
  <c r="G62" i="33"/>
  <c r="G63" i="33"/>
  <c r="G65" i="33"/>
  <c r="G60" i="33"/>
  <c r="J41" i="33"/>
  <c r="K41" i="33"/>
  <c r="M39" i="33"/>
  <c r="N39" i="33"/>
  <c r="I85" i="25"/>
  <c r="J85" i="25"/>
  <c r="K85" i="25"/>
  <c r="L85" i="25"/>
  <c r="H85" i="25"/>
  <c r="I86" i="25"/>
  <c r="J86" i="25"/>
  <c r="K86" i="25"/>
  <c r="L86" i="25"/>
  <c r="H86" i="25"/>
  <c r="J11" i="33"/>
  <c r="I6" i="33"/>
  <c r="J6" i="33"/>
  <c r="K6" i="33"/>
  <c r="L6" i="33"/>
  <c r="M6" i="33"/>
  <c r="M64" i="33"/>
  <c r="R16" i="25"/>
  <c r="G59" i="25"/>
  <c r="G60" i="25"/>
  <c r="G61" i="25"/>
  <c r="G62" i="25"/>
  <c r="G58" i="25"/>
  <c r="Q58" i="25"/>
  <c r="M80" i="25"/>
  <c r="N80" i="25"/>
  <c r="O80" i="25"/>
  <c r="P80" i="25"/>
  <c r="Q80" i="25"/>
  <c r="M26" i="25"/>
  <c r="R48" i="25"/>
  <c r="R50" i="25"/>
  <c r="R17" i="25"/>
  <c r="Q11" i="25"/>
  <c r="N73" i="17"/>
  <c r="N48" i="25"/>
  <c r="N50" i="25"/>
  <c r="O48" i="25"/>
  <c r="O50" i="25"/>
  <c r="P48" i="25"/>
  <c r="P50" i="25"/>
  <c r="Q48" i="25"/>
  <c r="Q50" i="25"/>
  <c r="I12" i="25"/>
  <c r="J12" i="25"/>
  <c r="K12" i="25"/>
  <c r="L12" i="25"/>
  <c r="H12" i="25"/>
  <c r="I11" i="25"/>
  <c r="J11" i="25"/>
  <c r="K11" i="25"/>
  <c r="L11" i="25"/>
  <c r="H11" i="25"/>
  <c r="M80" i="33"/>
  <c r="M82" i="33"/>
  <c r="M83" i="33"/>
  <c r="M81" i="33"/>
  <c r="M78" i="33"/>
  <c r="M65" i="33"/>
  <c r="M63" i="33"/>
  <c r="M60" i="33"/>
  <c r="M62" i="33"/>
  <c r="O39" i="33"/>
  <c r="N41" i="33"/>
  <c r="M41" i="33"/>
  <c r="K11" i="33"/>
  <c r="L11" i="33"/>
  <c r="I11" i="33"/>
  <c r="K13" i="25"/>
  <c r="N6" i="33"/>
  <c r="J13" i="25"/>
  <c r="I13" i="25"/>
  <c r="H13" i="25"/>
  <c r="P58" i="25"/>
  <c r="L13" i="25"/>
  <c r="O58" i="25"/>
  <c r="M58" i="25"/>
  <c r="N77" i="25"/>
  <c r="Q28" i="25"/>
  <c r="R28" i="25"/>
  <c r="P28" i="25"/>
  <c r="O28" i="25"/>
  <c r="N28" i="25"/>
  <c r="N83" i="33"/>
  <c r="N81" i="33"/>
  <c r="N82" i="33"/>
  <c r="N78" i="33"/>
  <c r="N63" i="33"/>
  <c r="N60" i="33"/>
  <c r="N64" i="33"/>
  <c r="N65" i="33"/>
  <c r="P39" i="33"/>
  <c r="O41" i="33"/>
  <c r="E48" i="25"/>
  <c r="M48" i="25"/>
  <c r="M50" i="25"/>
  <c r="E55" i="25"/>
  <c r="M55" i="25"/>
  <c r="M15" i="25"/>
  <c r="O6" i="33"/>
  <c r="O77" i="25"/>
  <c r="O83" i="33"/>
  <c r="O82" i="33"/>
  <c r="O78" i="33"/>
  <c r="O60" i="33"/>
  <c r="O64" i="33"/>
  <c r="O65" i="33"/>
  <c r="Q39" i="33"/>
  <c r="Q41" i="33"/>
  <c r="P41" i="33"/>
  <c r="P6" i="33"/>
  <c r="P77" i="25"/>
  <c r="G212" i="24"/>
  <c r="H212" i="24"/>
  <c r="I212" i="24"/>
  <c r="J212" i="24"/>
  <c r="F212" i="24"/>
  <c r="G215" i="24"/>
  <c r="H215" i="24"/>
  <c r="I215" i="24"/>
  <c r="J215" i="24"/>
  <c r="F215" i="24"/>
  <c r="G207" i="24"/>
  <c r="H207" i="24"/>
  <c r="I207" i="24"/>
  <c r="J207" i="24"/>
  <c r="F207" i="24"/>
  <c r="G204" i="24"/>
  <c r="H204" i="24"/>
  <c r="I204" i="24"/>
  <c r="J204" i="24"/>
  <c r="F204" i="24"/>
  <c r="G201" i="24"/>
  <c r="H201" i="24"/>
  <c r="I201" i="24"/>
  <c r="J201" i="24"/>
  <c r="F201" i="24"/>
  <c r="G198" i="24"/>
  <c r="H198" i="24"/>
  <c r="I198" i="24"/>
  <c r="J198" i="24"/>
  <c r="F198" i="24"/>
  <c r="G190" i="24"/>
  <c r="H190" i="24"/>
  <c r="I190" i="24"/>
  <c r="J190" i="24"/>
  <c r="F190" i="24"/>
  <c r="G193" i="24"/>
  <c r="H193" i="24"/>
  <c r="I193" i="24"/>
  <c r="J193" i="24"/>
  <c r="F193" i="24"/>
  <c r="G186" i="24"/>
  <c r="H186" i="24"/>
  <c r="I186" i="24"/>
  <c r="J186" i="24"/>
  <c r="F186" i="24"/>
  <c r="J61" i="17"/>
  <c r="J122" i="24"/>
  <c r="G122" i="24"/>
  <c r="H122" i="24"/>
  <c r="I122" i="24"/>
  <c r="F122" i="24"/>
  <c r="G121" i="24"/>
  <c r="H121" i="24"/>
  <c r="I121" i="24"/>
  <c r="J121" i="24"/>
  <c r="F121" i="24"/>
  <c r="G106" i="24"/>
  <c r="H106" i="24"/>
  <c r="I106" i="24"/>
  <c r="J106" i="24"/>
  <c r="F106" i="24"/>
  <c r="G103" i="24"/>
  <c r="H103" i="24"/>
  <c r="I103" i="24"/>
  <c r="J103" i="24"/>
  <c r="F103" i="24"/>
  <c r="G100" i="24"/>
  <c r="H100" i="24"/>
  <c r="I100" i="24"/>
  <c r="J100" i="24"/>
  <c r="F100" i="24"/>
  <c r="G96" i="24"/>
  <c r="H96" i="24"/>
  <c r="I96" i="24"/>
  <c r="J96" i="24"/>
  <c r="F96" i="24"/>
  <c r="G91" i="24"/>
  <c r="H91" i="24"/>
  <c r="I91" i="24"/>
  <c r="J91" i="24"/>
  <c r="F91" i="24"/>
  <c r="F87" i="24"/>
  <c r="G87" i="24"/>
  <c r="H87" i="24"/>
  <c r="I87" i="24"/>
  <c r="J87" i="24"/>
  <c r="G83" i="24"/>
  <c r="H83" i="24"/>
  <c r="I83" i="24"/>
  <c r="J83" i="24"/>
  <c r="F83" i="24"/>
  <c r="G79" i="24"/>
  <c r="H79" i="24"/>
  <c r="I79" i="24"/>
  <c r="J79" i="24"/>
  <c r="F79" i="24"/>
  <c r="G75" i="24"/>
  <c r="H75" i="24"/>
  <c r="I75" i="24"/>
  <c r="J75" i="24"/>
  <c r="F75" i="24"/>
  <c r="G68" i="24"/>
  <c r="H68" i="24"/>
  <c r="I68" i="24"/>
  <c r="J68" i="24"/>
  <c r="F68" i="24"/>
  <c r="G65" i="24"/>
  <c r="H65" i="24"/>
  <c r="I65" i="24"/>
  <c r="J65" i="24"/>
  <c r="F65" i="24"/>
  <c r="G58" i="24"/>
  <c r="H58" i="24"/>
  <c r="I58" i="24"/>
  <c r="J58" i="24"/>
  <c r="F58" i="24"/>
  <c r="G55" i="24"/>
  <c r="H55" i="24"/>
  <c r="I55" i="24"/>
  <c r="J55" i="24"/>
  <c r="F55" i="24"/>
  <c r="G52" i="24"/>
  <c r="H52" i="24"/>
  <c r="I52" i="24"/>
  <c r="J52" i="24"/>
  <c r="F52" i="24"/>
  <c r="G49" i="24"/>
  <c r="H49" i="24"/>
  <c r="I49" i="24"/>
  <c r="J49" i="24"/>
  <c r="F49" i="24"/>
  <c r="I39" i="24"/>
  <c r="J39" i="24"/>
  <c r="G27" i="24"/>
  <c r="H27" i="24"/>
  <c r="I27" i="24"/>
  <c r="J27" i="24"/>
  <c r="F27" i="24"/>
  <c r="G17" i="24"/>
  <c r="H17" i="24"/>
  <c r="I17" i="24"/>
  <c r="J17" i="24"/>
  <c r="F17" i="24"/>
  <c r="I147" i="17"/>
  <c r="J146" i="17"/>
  <c r="I10" i="23"/>
  <c r="J10" i="23"/>
  <c r="K10" i="23"/>
  <c r="L10" i="23"/>
  <c r="H10" i="23"/>
  <c r="M67" i="23"/>
  <c r="G19" i="23"/>
  <c r="G18" i="23"/>
  <c r="G17" i="23"/>
  <c r="I6" i="23"/>
  <c r="J6" i="23"/>
  <c r="K6" i="23"/>
  <c r="L6" i="23"/>
  <c r="M6" i="23"/>
  <c r="M84" i="23"/>
  <c r="M81" i="23"/>
  <c r="M85" i="23"/>
  <c r="M83" i="23"/>
  <c r="M86" i="23"/>
  <c r="M164" i="23"/>
  <c r="M165" i="23"/>
  <c r="M167" i="23"/>
  <c r="M166" i="23"/>
  <c r="L52" i="23"/>
  <c r="J52" i="23"/>
  <c r="I52" i="23"/>
  <c r="K52" i="23"/>
  <c r="P78" i="33"/>
  <c r="P83" i="33"/>
  <c r="P79" i="33"/>
  <c r="P60" i="33"/>
  <c r="P65" i="33"/>
  <c r="Q6" i="33"/>
  <c r="K61" i="17"/>
  <c r="L61" i="17"/>
  <c r="M61" i="17"/>
  <c r="N61" i="17"/>
  <c r="Q77" i="25"/>
  <c r="F25" i="24"/>
  <c r="H145" i="17"/>
  <c r="G145" i="17"/>
  <c r="I145" i="17"/>
  <c r="E145" i="17"/>
  <c r="G145" i="23"/>
  <c r="G91" i="23"/>
  <c r="G109" i="23"/>
  <c r="G127" i="23"/>
  <c r="G140" i="23"/>
  <c r="M140" i="23"/>
  <c r="I11" i="23"/>
  <c r="C176" i="24"/>
  <c r="E176" i="24"/>
  <c r="H173" i="24"/>
  <c r="I173" i="24"/>
  <c r="C177" i="24" a="1"/>
  <c r="H123" i="24"/>
  <c r="H128" i="24"/>
  <c r="F123" i="24"/>
  <c r="C155" i="24" a="1"/>
  <c r="G123" i="24"/>
  <c r="J123" i="24"/>
  <c r="J127" i="24"/>
  <c r="I123" i="24"/>
  <c r="I76" i="24"/>
  <c r="I77" i="24"/>
  <c r="J76" i="24"/>
  <c r="J77" i="24"/>
  <c r="H76" i="24"/>
  <c r="H77" i="24"/>
  <c r="F76" i="24"/>
  <c r="F77" i="24"/>
  <c r="F145" i="17"/>
  <c r="G76" i="24"/>
  <c r="G77" i="24"/>
  <c r="J11" i="23"/>
  <c r="K11" i="23"/>
  <c r="L11" i="23"/>
  <c r="N6" i="23"/>
  <c r="K77" i="24"/>
  <c r="L77" i="24"/>
  <c r="M77" i="24"/>
  <c r="N77" i="24"/>
  <c r="O77" i="24"/>
  <c r="N81" i="23"/>
  <c r="N85" i="23"/>
  <c r="N86" i="23"/>
  <c r="N84" i="23"/>
  <c r="G121" i="23"/>
  <c r="G120" i="23"/>
  <c r="N166" i="23"/>
  <c r="N165" i="23"/>
  <c r="N167" i="23"/>
  <c r="I55" i="23"/>
  <c r="I57" i="23"/>
  <c r="I59" i="23"/>
  <c r="I56" i="23"/>
  <c r="I60" i="23"/>
  <c r="I61" i="23"/>
  <c r="K57" i="23"/>
  <c r="K59" i="23"/>
  <c r="K55" i="23"/>
  <c r="K61" i="23"/>
  <c r="K60" i="23"/>
  <c r="K56" i="23"/>
  <c r="J61" i="23"/>
  <c r="J55" i="23"/>
  <c r="J59" i="23"/>
  <c r="J57" i="23"/>
  <c r="J60" i="23"/>
  <c r="J56" i="23"/>
  <c r="L55" i="23"/>
  <c r="L57" i="23"/>
  <c r="L61" i="23"/>
  <c r="L56" i="23"/>
  <c r="L59" i="23"/>
  <c r="L60" i="23"/>
  <c r="G104" i="23"/>
  <c r="M104" i="23"/>
  <c r="Q78" i="33"/>
  <c r="Q79" i="33"/>
  <c r="Q80" i="33"/>
  <c r="Q60" i="33"/>
  <c r="G100" i="23"/>
  <c r="G99" i="23"/>
  <c r="G101" i="23"/>
  <c r="M101" i="23"/>
  <c r="G103" i="23"/>
  <c r="M103" i="23"/>
  <c r="G119" i="23"/>
  <c r="M119" i="23"/>
  <c r="G102" i="23"/>
  <c r="M102" i="23"/>
  <c r="G139" i="23"/>
  <c r="M139" i="23"/>
  <c r="G137" i="23"/>
  <c r="M137" i="23"/>
  <c r="G138" i="23"/>
  <c r="M138" i="23"/>
  <c r="G135" i="23"/>
  <c r="G118" i="23"/>
  <c r="G136" i="23"/>
  <c r="G122" i="23"/>
  <c r="G117" i="23"/>
  <c r="M117" i="23"/>
  <c r="H127" i="24"/>
  <c r="H129" i="24"/>
  <c r="H124" i="24"/>
  <c r="C155" i="24"/>
  <c r="C177" i="24"/>
  <c r="E177" i="24"/>
  <c r="E181" i="24"/>
  <c r="E178" i="24"/>
  <c r="K178" i="24"/>
  <c r="E179" i="24"/>
  <c r="E180" i="24"/>
  <c r="I124" i="24"/>
  <c r="I128" i="24"/>
  <c r="K137" i="24"/>
  <c r="K138" i="24"/>
  <c r="J128" i="24"/>
  <c r="J129" i="24"/>
  <c r="G127" i="24"/>
  <c r="G128" i="24"/>
  <c r="I127" i="24"/>
  <c r="J124" i="24"/>
  <c r="D117" i="24"/>
  <c r="D118" i="24"/>
  <c r="M76" i="24"/>
  <c r="L76" i="24"/>
  <c r="N76" i="24"/>
  <c r="K76" i="24"/>
  <c r="O76" i="24"/>
  <c r="O6" i="23"/>
  <c r="N140" i="23"/>
  <c r="O85" i="23"/>
  <c r="O86" i="23"/>
  <c r="O81" i="23"/>
  <c r="O166" i="23"/>
  <c r="O167" i="23"/>
  <c r="M55" i="23"/>
  <c r="N55" i="23"/>
  <c r="O55" i="23"/>
  <c r="P55" i="23"/>
  <c r="Q55" i="23"/>
  <c r="M61" i="23"/>
  <c r="N61" i="23"/>
  <c r="M60" i="23"/>
  <c r="M56" i="23"/>
  <c r="M57" i="23"/>
  <c r="M59" i="23"/>
  <c r="N104" i="23"/>
  <c r="K62" i="23"/>
  <c r="I62" i="23"/>
  <c r="J62" i="23"/>
  <c r="L62" i="23"/>
  <c r="N102" i="23"/>
  <c r="N103" i="23"/>
  <c r="N139" i="23"/>
  <c r="N138" i="23"/>
  <c r="N135" i="23"/>
  <c r="L179" i="24"/>
  <c r="K179" i="24"/>
  <c r="L181" i="24"/>
  <c r="M181" i="24"/>
  <c r="K181" i="24"/>
  <c r="N181" i="24"/>
  <c r="L180" i="24"/>
  <c r="K180" i="24"/>
  <c r="M180" i="24"/>
  <c r="I129" i="24"/>
  <c r="L139" i="24"/>
  <c r="M139" i="24"/>
  <c r="N139" i="24"/>
  <c r="O139" i="24"/>
  <c r="K139" i="24"/>
  <c r="K128" i="24"/>
  <c r="L128" i="24"/>
  <c r="M128" i="24"/>
  <c r="N128" i="24"/>
  <c r="G129" i="24"/>
  <c r="K127" i="24"/>
  <c r="P6" i="23"/>
  <c r="O139" i="23"/>
  <c r="O104" i="23"/>
  <c r="O103" i="23"/>
  <c r="O140" i="23"/>
  <c r="P81" i="23"/>
  <c r="P86" i="23"/>
  <c r="P163" i="23"/>
  <c r="P162" i="23"/>
  <c r="P167" i="23"/>
  <c r="N59" i="23"/>
  <c r="O61" i="23"/>
  <c r="N57" i="23"/>
  <c r="N60" i="23"/>
  <c r="N56" i="23"/>
  <c r="M62" i="23"/>
  <c r="N117" i="23"/>
  <c r="O135" i="23"/>
  <c r="M135" i="23"/>
  <c r="O117" i="23"/>
  <c r="K140" i="24"/>
  <c r="L137" i="24"/>
  <c r="L138" i="24"/>
  <c r="L127" i="24"/>
  <c r="K129" i="24"/>
  <c r="O128" i="24"/>
  <c r="P104" i="23"/>
  <c r="Q6" i="23"/>
  <c r="P135" i="23"/>
  <c r="P140" i="23"/>
  <c r="P117" i="23"/>
  <c r="P99" i="23"/>
  <c r="Q81" i="23"/>
  <c r="Q164" i="23"/>
  <c r="Q163" i="23"/>
  <c r="Q162" i="23"/>
  <c r="O60" i="23"/>
  <c r="O57" i="23"/>
  <c r="P61" i="23"/>
  <c r="O56" i="23"/>
  <c r="O59" i="23"/>
  <c r="N62" i="23"/>
  <c r="M99" i="23"/>
  <c r="N99" i="23"/>
  <c r="O99" i="23"/>
  <c r="M127" i="24"/>
  <c r="L129" i="24"/>
  <c r="Q135" i="23"/>
  <c r="Q99" i="23"/>
  <c r="Q117" i="23"/>
  <c r="P56" i="23"/>
  <c r="P57" i="23"/>
  <c r="Q61" i="23"/>
  <c r="P59" i="23"/>
  <c r="P60" i="23"/>
  <c r="O62" i="23"/>
  <c r="N127" i="24"/>
  <c r="M129" i="24"/>
  <c r="L140" i="24"/>
  <c r="M137" i="24"/>
  <c r="M138" i="24"/>
  <c r="Q57" i="23"/>
  <c r="Q59" i="23"/>
  <c r="Q60" i="23"/>
  <c r="Q56" i="23"/>
  <c r="P62" i="23"/>
  <c r="O127" i="24"/>
  <c r="O129" i="24"/>
  <c r="N129" i="24"/>
  <c r="M140" i="24"/>
  <c r="Q62" i="23"/>
  <c r="N137" i="24"/>
  <c r="N138" i="24"/>
  <c r="N140" i="24"/>
  <c r="O137" i="24"/>
  <c r="O138" i="24"/>
  <c r="O140" i="24"/>
  <c r="H31" i="14"/>
  <c r="I31" i="14"/>
  <c r="J31" i="14"/>
  <c r="K31" i="14"/>
  <c r="G31" i="14"/>
  <c r="I32" i="14"/>
  <c r="M69" i="25"/>
  <c r="J32" i="14"/>
  <c r="H32" i="14"/>
  <c r="K32" i="14"/>
  <c r="G25" i="24"/>
  <c r="H24" i="14"/>
  <c r="I24" i="14"/>
  <c r="J24" i="14"/>
  <c r="K24" i="14"/>
  <c r="G24" i="14"/>
  <c r="H25" i="24"/>
  <c r="J25" i="24"/>
  <c r="I25" i="24"/>
  <c r="F30" i="17"/>
  <c r="E30" i="17"/>
  <c r="I30" i="17"/>
  <c r="H30" i="17"/>
  <c r="G30" i="17"/>
  <c r="H24" i="25"/>
  <c r="H20" i="33"/>
  <c r="K24" i="25"/>
  <c r="K20" i="33"/>
  <c r="K24" i="33"/>
  <c r="J24" i="25"/>
  <c r="J20" i="33"/>
  <c r="J24" i="33"/>
  <c r="L24" i="25"/>
  <c r="L20" i="33"/>
  <c r="L24" i="33"/>
  <c r="I24" i="25"/>
  <c r="I20" i="33"/>
  <c r="I24" i="33"/>
  <c r="P33" i="14"/>
  <c r="M33" i="14"/>
  <c r="E18" i="17"/>
  <c r="F34" i="24"/>
  <c r="J12" i="24"/>
  <c r="J34" i="24"/>
  <c r="I18" i="17"/>
  <c r="I14" i="17"/>
  <c r="I12" i="24"/>
  <c r="I34" i="24"/>
  <c r="H14" i="17"/>
  <c r="H18" i="17"/>
  <c r="G18" i="17"/>
  <c r="H34" i="24"/>
  <c r="G14" i="17"/>
  <c r="F18" i="17"/>
  <c r="G34" i="24"/>
  <c r="F14" i="17"/>
  <c r="L24" i="23"/>
  <c r="I24" i="23"/>
  <c r="H24" i="23"/>
  <c r="K24" i="23"/>
  <c r="J24" i="23"/>
  <c r="P28" i="14"/>
  <c r="P26" i="14"/>
  <c r="I224" i="24"/>
  <c r="I101" i="24"/>
  <c r="H224" i="24"/>
  <c r="H101" i="24"/>
  <c r="J224" i="24"/>
  <c r="J101" i="24"/>
  <c r="F224" i="24"/>
  <c r="G224" i="24"/>
  <c r="K224" i="24"/>
  <c r="L224" i="24"/>
  <c r="M224" i="24"/>
  <c r="N224" i="24"/>
  <c r="O224" i="24"/>
  <c r="F101" i="24"/>
  <c r="G101" i="24"/>
  <c r="G19" i="17"/>
  <c r="F27" i="17"/>
  <c r="F19" i="17"/>
  <c r="H19" i="17"/>
  <c r="I27" i="17"/>
  <c r="I19" i="17"/>
  <c r="E19" i="17"/>
  <c r="M24" i="33"/>
  <c r="N24" i="33"/>
  <c r="O24" i="33"/>
  <c r="P24" i="33"/>
  <c r="Q24" i="33"/>
  <c r="I221" i="24"/>
  <c r="F221" i="24"/>
  <c r="G221" i="24"/>
  <c r="H221" i="24"/>
  <c r="J221" i="24"/>
  <c r="I21" i="33"/>
  <c r="K21" i="33"/>
  <c r="L21" i="33"/>
  <c r="J21" i="33"/>
  <c r="G104" i="24"/>
  <c r="F104" i="24"/>
  <c r="N33" i="14"/>
  <c r="O33" i="14"/>
  <c r="I104" i="24"/>
  <c r="H104" i="24"/>
  <c r="J104" i="24"/>
  <c r="I194" i="24"/>
  <c r="H194" i="24"/>
  <c r="G194" i="24"/>
  <c r="J194" i="24"/>
  <c r="F107" i="24"/>
  <c r="F194" i="24"/>
  <c r="G107" i="24"/>
  <c r="G165" i="24"/>
  <c r="I107" i="24"/>
  <c r="I165" i="24"/>
  <c r="H107" i="24"/>
  <c r="H165" i="24"/>
  <c r="J107" i="24"/>
  <c r="J165" i="24"/>
  <c r="I97" i="24"/>
  <c r="I98" i="24"/>
  <c r="H97" i="24"/>
  <c r="H98" i="24"/>
  <c r="J97" i="24"/>
  <c r="J98" i="24"/>
  <c r="G97" i="24"/>
  <c r="G98" i="24"/>
  <c r="F97" i="24"/>
  <c r="F98" i="24"/>
  <c r="H88" i="24"/>
  <c r="H89" i="24"/>
  <c r="H80" i="24"/>
  <c r="H81" i="24"/>
  <c r="H191" i="24"/>
  <c r="H13" i="24"/>
  <c r="H84" i="24"/>
  <c r="H85" i="24"/>
  <c r="H199" i="24"/>
  <c r="H205" i="24"/>
  <c r="H69" i="24"/>
  <c r="H18" i="24"/>
  <c r="H216" i="24"/>
  <c r="H92" i="24"/>
  <c r="H59" i="24"/>
  <c r="H56" i="24"/>
  <c r="H53" i="24"/>
  <c r="H202" i="24"/>
  <c r="H28" i="24"/>
  <c r="H208" i="24"/>
  <c r="H50" i="24"/>
  <c r="H213" i="24"/>
  <c r="J13" i="24"/>
  <c r="J84" i="24"/>
  <c r="J85" i="24"/>
  <c r="J199" i="24"/>
  <c r="J92" i="24"/>
  <c r="J53" i="24"/>
  <c r="J18" i="24"/>
  <c r="J80" i="24"/>
  <c r="J81" i="24"/>
  <c r="J213" i="24"/>
  <c r="J88" i="24"/>
  <c r="J89" i="24"/>
  <c r="J69" i="24"/>
  <c r="J28" i="24"/>
  <c r="J191" i="24"/>
  <c r="J208" i="24"/>
  <c r="J50" i="24"/>
  <c r="J216" i="24"/>
  <c r="J205" i="24"/>
  <c r="J202" i="24"/>
  <c r="J25" i="23"/>
  <c r="G80" i="24"/>
  <c r="G81" i="24"/>
  <c r="I80" i="24"/>
  <c r="I81" i="24"/>
  <c r="K81" i="24"/>
  <c r="L81" i="24"/>
  <c r="M81" i="24"/>
  <c r="N81" i="24"/>
  <c r="O81" i="24"/>
  <c r="G53" i="24"/>
  <c r="G69" i="24"/>
  <c r="G84" i="24"/>
  <c r="G85" i="24"/>
  <c r="G18" i="24"/>
  <c r="G213" i="24"/>
  <c r="G199" i="24"/>
  <c r="G88" i="24"/>
  <c r="G89" i="24"/>
  <c r="G208" i="24"/>
  <c r="G216" i="24"/>
  <c r="G191" i="24"/>
  <c r="G13" i="24"/>
  <c r="G28" i="24"/>
  <c r="G202" i="24"/>
  <c r="G92" i="24"/>
  <c r="G59" i="24"/>
  <c r="G50" i="24"/>
  <c r="F92" i="24"/>
  <c r="F59" i="24"/>
  <c r="F84" i="24"/>
  <c r="F85" i="24"/>
  <c r="F216" i="24"/>
  <c r="I216" i="24"/>
  <c r="K216" i="24"/>
  <c r="L216" i="24"/>
  <c r="M216" i="24"/>
  <c r="N216" i="24"/>
  <c r="O216" i="24"/>
  <c r="F50" i="24"/>
  <c r="F88" i="24"/>
  <c r="F89" i="24"/>
  <c r="I88" i="24"/>
  <c r="I89" i="24"/>
  <c r="K89" i="24"/>
  <c r="L89" i="24"/>
  <c r="M89" i="24"/>
  <c r="N89" i="24"/>
  <c r="O89" i="24"/>
  <c r="F213" i="24"/>
  <c r="I213" i="24"/>
  <c r="K213" i="24"/>
  <c r="L213" i="24"/>
  <c r="M213" i="24"/>
  <c r="N213" i="24"/>
  <c r="O213" i="24"/>
  <c r="F69" i="24"/>
  <c r="F208" i="24"/>
  <c r="F202" i="24"/>
  <c r="F18" i="24"/>
  <c r="F28" i="24"/>
  <c r="F199" i="24"/>
  <c r="F191" i="24"/>
  <c r="I191" i="24"/>
  <c r="K191" i="24"/>
  <c r="L191" i="24"/>
  <c r="M191" i="24"/>
  <c r="N191" i="24"/>
  <c r="O191" i="24"/>
  <c r="F53" i="24"/>
  <c r="I69" i="24"/>
  <c r="I84" i="24"/>
  <c r="I85" i="24"/>
  <c r="I59" i="24"/>
  <c r="I28" i="24"/>
  <c r="I13" i="24"/>
  <c r="I50" i="24"/>
  <c r="I202" i="24"/>
  <c r="I205" i="24"/>
  <c r="I53" i="24"/>
  <c r="I208" i="24"/>
  <c r="I18" i="24"/>
  <c r="I199" i="24"/>
  <c r="I92" i="24"/>
  <c r="K25" i="23"/>
  <c r="I25" i="23"/>
  <c r="L25" i="23"/>
  <c r="M26" i="14"/>
  <c r="M28" i="14"/>
  <c r="O26" i="14"/>
  <c r="O28" i="14"/>
  <c r="L26" i="14"/>
  <c r="N26" i="14"/>
  <c r="N28" i="14"/>
  <c r="E27" i="17"/>
  <c r="G27" i="17"/>
  <c r="N30" i="23"/>
  <c r="O30" i="23"/>
  <c r="P30" i="23"/>
  <c r="Q30" i="23"/>
  <c r="K205" i="24"/>
  <c r="L205" i="24"/>
  <c r="M205" i="24"/>
  <c r="N205" i="24"/>
  <c r="O205" i="24"/>
  <c r="K104" i="24"/>
  <c r="K101" i="24"/>
  <c r="K107" i="24"/>
  <c r="L107" i="24"/>
  <c r="M107" i="24"/>
  <c r="K202" i="24"/>
  <c r="L202" i="24"/>
  <c r="M202" i="24"/>
  <c r="N202" i="24"/>
  <c r="O202" i="24"/>
  <c r="K92" i="24"/>
  <c r="L92" i="24"/>
  <c r="M92" i="24"/>
  <c r="N92" i="24"/>
  <c r="O92" i="24"/>
  <c r="K199" i="24"/>
  <c r="L199" i="24"/>
  <c r="M199" i="24"/>
  <c r="N199" i="24"/>
  <c r="O199" i="24"/>
  <c r="K85" i="24"/>
  <c r="L85" i="24"/>
  <c r="M85" i="24"/>
  <c r="N85" i="24"/>
  <c r="O85" i="24"/>
  <c r="K194" i="24"/>
  <c r="L194" i="24"/>
  <c r="M194" i="24"/>
  <c r="N194" i="24"/>
  <c r="O194" i="24"/>
  <c r="K208" i="24"/>
  <c r="L208" i="24"/>
  <c r="M208" i="24"/>
  <c r="N208" i="24"/>
  <c r="O208" i="24"/>
  <c r="K98" i="24"/>
  <c r="L98" i="24"/>
  <c r="L97" i="24"/>
  <c r="L101" i="24"/>
  <c r="G63" i="24"/>
  <c r="G66" i="24"/>
  <c r="H27" i="17"/>
  <c r="H63" i="24"/>
  <c r="H66" i="24"/>
  <c r="F63" i="24"/>
  <c r="F66" i="24"/>
  <c r="I63" i="24"/>
  <c r="I66" i="24"/>
  <c r="O69" i="24"/>
  <c r="K69" i="24"/>
  <c r="L69" i="24"/>
  <c r="M69" i="24"/>
  <c r="N69" i="24"/>
  <c r="M84" i="24"/>
  <c r="N84" i="24"/>
  <c r="K84" i="24"/>
  <c r="O84" i="24"/>
  <c r="L56" i="24"/>
  <c r="N56" i="24"/>
  <c r="O56" i="24"/>
  <c r="K56" i="24"/>
  <c r="M56" i="24"/>
  <c r="L88" i="24"/>
  <c r="M88" i="24"/>
  <c r="N88" i="24"/>
  <c r="O88" i="24"/>
  <c r="K88" i="24"/>
  <c r="K50" i="24"/>
  <c r="L80" i="24"/>
  <c r="O80" i="24"/>
  <c r="N80" i="24"/>
  <c r="K80" i="24"/>
  <c r="M80" i="24"/>
  <c r="L84" i="24"/>
  <c r="M101" i="24"/>
  <c r="J63" i="24"/>
  <c r="J66" i="24"/>
  <c r="H70" i="25"/>
  <c r="H79" i="25"/>
  <c r="L70" i="25"/>
  <c r="L79" i="25"/>
  <c r="K70" i="25"/>
  <c r="K79" i="25"/>
  <c r="I70" i="25"/>
  <c r="I79" i="25"/>
  <c r="J70" i="25"/>
  <c r="J79" i="25"/>
  <c r="N107" i="24"/>
  <c r="O107" i="24"/>
  <c r="L104" i="24"/>
  <c r="M98" i="24"/>
  <c r="M97" i="24"/>
  <c r="K97" i="24"/>
  <c r="L50" i="24"/>
  <c r="I20" i="14"/>
  <c r="J20" i="14"/>
  <c r="K20" i="14"/>
  <c r="I21" i="14"/>
  <c r="J21" i="14"/>
  <c r="K21" i="14"/>
  <c r="H21" i="14"/>
  <c r="H20" i="14"/>
  <c r="K14" i="14"/>
  <c r="J14" i="14"/>
  <c r="I14" i="14"/>
  <c r="H14" i="14"/>
  <c r="G14" i="14"/>
  <c r="H7" i="14"/>
  <c r="I7" i="14"/>
  <c r="J7" i="14"/>
  <c r="K7" i="14"/>
  <c r="L7" i="14"/>
  <c r="M7" i="14"/>
  <c r="N7" i="14"/>
  <c r="O7" i="14"/>
  <c r="P7" i="14"/>
  <c r="N101" i="24"/>
  <c r="K66" i="24"/>
  <c r="M104" i="24"/>
  <c r="N98" i="24"/>
  <c r="N97" i="24"/>
  <c r="M50" i="24"/>
  <c r="H15" i="14"/>
  <c r="H25" i="14"/>
  <c r="I15" i="14"/>
  <c r="I25" i="14"/>
  <c r="J15" i="14"/>
  <c r="J25" i="14"/>
  <c r="K15" i="14"/>
  <c r="L66" i="24"/>
  <c r="O101" i="24"/>
  <c r="M66" i="24"/>
  <c r="N66" i="24"/>
  <c r="N104" i="24"/>
  <c r="O98" i="24"/>
  <c r="O97" i="24"/>
  <c r="N50" i="24"/>
  <c r="K25" i="14"/>
  <c r="O66" i="24"/>
  <c r="O104" i="24"/>
  <c r="O50" i="24"/>
  <c r="K169" i="24"/>
  <c r="D176" i="24"/>
  <c r="J173" i="24"/>
  <c r="K176" i="24"/>
  <c r="L176" i="24"/>
  <c r="M176" i="24"/>
  <c r="N176" i="24"/>
  <c r="O176" i="24"/>
  <c r="M28" i="25"/>
  <c r="M59" i="25"/>
  <c r="N59" i="25"/>
  <c r="P59" i="25"/>
  <c r="Q59" i="25"/>
  <c r="M60" i="25"/>
  <c r="N60" i="25"/>
  <c r="O60" i="25"/>
  <c r="Q60" i="25"/>
  <c r="M61" i="25"/>
  <c r="N61" i="25"/>
  <c r="O61" i="25"/>
  <c r="P61" i="25"/>
  <c r="M62" i="25"/>
  <c r="N62" i="25"/>
  <c r="O62" i="25"/>
  <c r="P62" i="25"/>
  <c r="Q62" i="25"/>
  <c r="M64" i="25"/>
  <c r="M149" i="23"/>
  <c r="N147" i="23"/>
  <c r="N149" i="23"/>
  <c r="O147" i="23"/>
  <c r="O149" i="23"/>
  <c r="P147" i="23"/>
  <c r="P149" i="23"/>
  <c r="Q147" i="23"/>
  <c r="Q149" i="23"/>
  <c r="M120" i="23"/>
  <c r="N120" i="23"/>
  <c r="M121" i="23"/>
  <c r="N121" i="23"/>
  <c r="O121" i="23"/>
  <c r="M122" i="23"/>
  <c r="N122" i="23"/>
  <c r="O122" i="23"/>
  <c r="P122" i="23"/>
  <c r="M23" i="57"/>
  <c r="O23" i="57"/>
  <c r="I102" i="49"/>
  <c r="J102" i="49"/>
  <c r="K46" i="49"/>
  <c r="K55" i="49"/>
  <c r="K56" i="49"/>
  <c r="F31" i="49"/>
  <c r="E104" i="49"/>
  <c r="E103" i="49"/>
  <c r="I46" i="49"/>
  <c r="I55" i="49"/>
  <c r="I56" i="49"/>
  <c r="H56" i="49"/>
  <c r="E114" i="49"/>
  <c r="E113" i="49"/>
  <c r="E87" i="49"/>
  <c r="J46" i="49"/>
  <c r="J55" i="49"/>
  <c r="J56" i="49"/>
  <c r="L46" i="49"/>
  <c r="L55" i="49"/>
  <c r="L56" i="49"/>
  <c r="E88" i="49"/>
  <c r="K55" i="24"/>
  <c r="J35" i="17"/>
  <c r="M24" i="57"/>
  <c r="M14" i="57"/>
  <c r="Q12" i="57"/>
  <c r="M19" i="57"/>
  <c r="O14" i="57"/>
  <c r="O20" i="57"/>
  <c r="K14" i="57"/>
  <c r="K20" i="57"/>
  <c r="K24" i="57"/>
  <c r="M20" i="57"/>
  <c r="J20" i="57"/>
  <c r="L21" i="14"/>
  <c r="M21" i="14"/>
  <c r="Z11" i="55"/>
  <c r="L14" i="14"/>
  <c r="L15" i="14"/>
  <c r="K19" i="57"/>
  <c r="Q19" i="57"/>
  <c r="Q23" i="57"/>
  <c r="I23" i="57"/>
  <c r="F15" i="49"/>
  <c r="F34" i="49"/>
  <c r="F35" i="49"/>
  <c r="Q58" i="49"/>
  <c r="Q20" i="57"/>
  <c r="Q24" i="57"/>
  <c r="I24" i="57"/>
  <c r="O19" i="57"/>
  <c r="N58" i="49"/>
  <c r="O58" i="49"/>
  <c r="P58" i="49"/>
  <c r="M20" i="33"/>
  <c r="M24" i="25"/>
  <c r="M31" i="25"/>
  <c r="J14" i="17"/>
  <c r="K11" i="55"/>
  <c r="K12" i="55"/>
  <c r="K11" i="54"/>
  <c r="M24" i="23"/>
  <c r="M25" i="23"/>
  <c r="M58" i="49"/>
  <c r="L55" i="24"/>
  <c r="K35" i="17"/>
  <c r="N21" i="14"/>
  <c r="M23" i="33"/>
  <c r="M21" i="33"/>
  <c r="AA11" i="55"/>
  <c r="M20" i="14"/>
  <c r="M14" i="14"/>
  <c r="M15" i="14"/>
  <c r="K198" i="24"/>
  <c r="J60" i="17"/>
  <c r="K83" i="24"/>
  <c r="J51" i="17"/>
  <c r="K68" i="24"/>
  <c r="J39" i="17"/>
  <c r="K212" i="24"/>
  <c r="J82" i="17"/>
  <c r="J123" i="17"/>
  <c r="K103" i="24"/>
  <c r="J75" i="17"/>
  <c r="J119" i="17"/>
  <c r="K193" i="24"/>
  <c r="J55" i="17"/>
  <c r="K201" i="24"/>
  <c r="K190" i="24"/>
  <c r="J49" i="17"/>
  <c r="K52" i="24"/>
  <c r="J34" i="17"/>
  <c r="K207" i="24"/>
  <c r="J64" i="17"/>
  <c r="K100" i="24"/>
  <c r="J72" i="17"/>
  <c r="J118" i="17"/>
  <c r="K13" i="24"/>
  <c r="K58" i="24"/>
  <c r="J36" i="17"/>
  <c r="K204" i="24"/>
  <c r="J63" i="17"/>
  <c r="K106" i="24"/>
  <c r="J76" i="17"/>
  <c r="J120" i="17"/>
  <c r="K91" i="24"/>
  <c r="J54" i="17"/>
  <c r="K223" i="24"/>
  <c r="J108" i="17"/>
  <c r="M85" i="25"/>
  <c r="M87" i="25"/>
  <c r="K220" i="24"/>
  <c r="K79" i="24"/>
  <c r="J50" i="17"/>
  <c r="K215" i="24"/>
  <c r="J83" i="17"/>
  <c r="J124" i="17"/>
  <c r="K96" i="24"/>
  <c r="J71" i="17"/>
  <c r="J112" i="17"/>
  <c r="K87" i="24"/>
  <c r="J52" i="17"/>
  <c r="K49" i="24"/>
  <c r="AB11" i="55"/>
  <c r="N14" i="14"/>
  <c r="N15" i="14"/>
  <c r="N20" i="14"/>
  <c r="J110" i="17"/>
  <c r="K25" i="24"/>
  <c r="N84" i="25"/>
  <c r="J90" i="17"/>
  <c r="J122" i="17"/>
  <c r="J114" i="17"/>
  <c r="N24" i="23"/>
  <c r="N25" i="23"/>
  <c r="L11" i="55"/>
  <c r="L12" i="55"/>
  <c r="K14" i="17"/>
  <c r="L11" i="54"/>
  <c r="N24" i="25"/>
  <c r="N31" i="25"/>
  <c r="N20" i="33"/>
  <c r="P21" i="14"/>
  <c r="J130" i="17"/>
  <c r="O21" i="14"/>
  <c r="K75" i="24"/>
  <c r="J53" i="17"/>
  <c r="J116" i="17"/>
  <c r="J117" i="17"/>
  <c r="M55" i="24"/>
  <c r="L35" i="17"/>
  <c r="M35" i="33"/>
  <c r="J129" i="17"/>
  <c r="M34" i="33"/>
  <c r="J115" i="17"/>
  <c r="J121" i="17"/>
  <c r="J111" i="17"/>
  <c r="O14" i="14"/>
  <c r="O15" i="14"/>
  <c r="AC11" i="55"/>
  <c r="M29" i="33"/>
  <c r="M36" i="33"/>
  <c r="M55" i="33"/>
  <c r="L100" i="24"/>
  <c r="K72" i="17"/>
  <c r="K118" i="17"/>
  <c r="L68" i="24"/>
  <c r="K39" i="17"/>
  <c r="L220" i="24"/>
  <c r="L91" i="24"/>
  <c r="K54" i="17"/>
  <c r="L207" i="24"/>
  <c r="K64" i="17"/>
  <c r="L193" i="24"/>
  <c r="K55" i="17"/>
  <c r="L52" i="24"/>
  <c r="K34" i="17"/>
  <c r="L215" i="24"/>
  <c r="K83" i="17"/>
  <c r="K124" i="17"/>
  <c r="L106" i="24"/>
  <c r="K76" i="17"/>
  <c r="K120" i="17"/>
  <c r="L96" i="24"/>
  <c r="K71" i="17"/>
  <c r="K112" i="17"/>
  <c r="L198" i="24"/>
  <c r="K60" i="17"/>
  <c r="L83" i="24"/>
  <c r="K51" i="17"/>
  <c r="L201" i="24"/>
  <c r="L223" i="24"/>
  <c r="K108" i="17"/>
  <c r="N85" i="25"/>
  <c r="N87" i="25"/>
  <c r="L204" i="24"/>
  <c r="K63" i="17"/>
  <c r="L103" i="24"/>
  <c r="K75" i="17"/>
  <c r="K119" i="17"/>
  <c r="L49" i="24"/>
  <c r="L79" i="24"/>
  <c r="K50" i="17"/>
  <c r="L13" i="24"/>
  <c r="L190" i="24"/>
  <c r="K49" i="17"/>
  <c r="L212" i="24"/>
  <c r="K82" i="17"/>
  <c r="K123" i="17"/>
  <c r="L87" i="24"/>
  <c r="K52" i="17"/>
  <c r="L58" i="24"/>
  <c r="K36" i="17"/>
  <c r="N23" i="33"/>
  <c r="N21" i="33"/>
  <c r="J18" i="17"/>
  <c r="Z12" i="55"/>
  <c r="P14" i="14"/>
  <c r="P20" i="14"/>
  <c r="M30" i="33"/>
  <c r="M73" i="33"/>
  <c r="O20" i="33"/>
  <c r="M11" i="54"/>
  <c r="L14" i="17"/>
  <c r="O24" i="25"/>
  <c r="O31" i="25"/>
  <c r="M11" i="55"/>
  <c r="M12" i="55"/>
  <c r="O24" i="23"/>
  <c r="O25" i="23"/>
  <c r="E82" i="49"/>
  <c r="E83" i="49"/>
  <c r="E84" i="49"/>
  <c r="AD11" i="55"/>
  <c r="O84" i="25"/>
  <c r="K90" i="17"/>
  <c r="K117" i="17"/>
  <c r="N72" i="33"/>
  <c r="K121" i="17"/>
  <c r="L75" i="24"/>
  <c r="K53" i="17"/>
  <c r="K110" i="17"/>
  <c r="N54" i="33"/>
  <c r="M31" i="33"/>
  <c r="O11" i="55"/>
  <c r="Q24" i="25"/>
  <c r="O11" i="54"/>
  <c r="N14" i="17"/>
  <c r="Q24" i="23"/>
  <c r="Q20" i="33"/>
  <c r="L25" i="24"/>
  <c r="M212" i="24"/>
  <c r="L82" i="17"/>
  <c r="L123" i="17"/>
  <c r="M220" i="24"/>
  <c r="M198" i="24"/>
  <c r="L60" i="17"/>
  <c r="M68" i="24"/>
  <c r="L39" i="17"/>
  <c r="M103" i="24"/>
  <c r="L75" i="17"/>
  <c r="L119" i="17"/>
  <c r="M52" i="24"/>
  <c r="L34" i="17"/>
  <c r="M207" i="24"/>
  <c r="L64" i="17"/>
  <c r="L122" i="17"/>
  <c r="M58" i="24"/>
  <c r="L36" i="17"/>
  <c r="M96" i="24"/>
  <c r="L71" i="17"/>
  <c r="L112" i="17"/>
  <c r="M223" i="24"/>
  <c r="L108" i="17"/>
  <c r="O85" i="25"/>
  <c r="M190" i="24"/>
  <c r="L49" i="17"/>
  <c r="M201" i="24"/>
  <c r="M204" i="24"/>
  <c r="L63" i="17"/>
  <c r="M79" i="24"/>
  <c r="L50" i="17"/>
  <c r="L110" i="17"/>
  <c r="M100" i="24"/>
  <c r="L72" i="17"/>
  <c r="L118" i="17"/>
  <c r="M215" i="24"/>
  <c r="L83" i="17"/>
  <c r="L124" i="17"/>
  <c r="M193" i="24"/>
  <c r="L55" i="17"/>
  <c r="M49" i="24"/>
  <c r="M106" i="24"/>
  <c r="L76" i="17"/>
  <c r="L120" i="17"/>
  <c r="M91" i="24"/>
  <c r="L54" i="17"/>
  <c r="L116" i="17"/>
  <c r="M83" i="24"/>
  <c r="L51" i="17"/>
  <c r="L114" i="17"/>
  <c r="M87" i="24"/>
  <c r="L52" i="17"/>
  <c r="L115" i="17"/>
  <c r="M13" i="24"/>
  <c r="P15" i="14"/>
  <c r="P24" i="23"/>
  <c r="P25" i="23"/>
  <c r="N11" i="55"/>
  <c r="N12" i="55"/>
  <c r="M14" i="17"/>
  <c r="P24" i="25"/>
  <c r="P31" i="25"/>
  <c r="N11" i="54"/>
  <c r="P20" i="33"/>
  <c r="O21" i="33"/>
  <c r="O23" i="33"/>
  <c r="J19" i="17"/>
  <c r="K115" i="17"/>
  <c r="K122" i="17"/>
  <c r="N55" i="24"/>
  <c r="M35" i="17"/>
  <c r="K129" i="17"/>
  <c r="N35" i="33"/>
  <c r="N73" i="33"/>
  <c r="N34" i="33"/>
  <c r="N29" i="33"/>
  <c r="K130" i="17"/>
  <c r="K114" i="17"/>
  <c r="K116" i="17"/>
  <c r="K17" i="55"/>
  <c r="Z14" i="55"/>
  <c r="O12" i="55"/>
  <c r="L130" i="17"/>
  <c r="O54" i="33"/>
  <c r="Q25" i="23"/>
  <c r="N75" i="24"/>
  <c r="M53" i="17"/>
  <c r="M42" i="49"/>
  <c r="M52" i="49"/>
  <c r="J27" i="17"/>
  <c r="K16" i="54"/>
  <c r="K33" i="54"/>
  <c r="M75" i="24"/>
  <c r="L53" i="17"/>
  <c r="M25" i="24"/>
  <c r="N30" i="33"/>
  <c r="K111" i="17"/>
  <c r="P23" i="33"/>
  <c r="P21" i="33"/>
  <c r="N36" i="33"/>
  <c r="N55" i="33"/>
  <c r="N212" i="24"/>
  <c r="M82" i="17"/>
  <c r="M123" i="17"/>
  <c r="N204" i="24"/>
  <c r="M63" i="17"/>
  <c r="M121" i="17"/>
  <c r="N193" i="24"/>
  <c r="M55" i="17"/>
  <c r="M117" i="17"/>
  <c r="N13" i="24"/>
  <c r="N215" i="24"/>
  <c r="M83" i="17"/>
  <c r="M124" i="17"/>
  <c r="N100" i="24"/>
  <c r="M72" i="17"/>
  <c r="M118" i="17"/>
  <c r="N223" i="24"/>
  <c r="M108" i="17"/>
  <c r="P85" i="25"/>
  <c r="N198" i="24"/>
  <c r="M60" i="17"/>
  <c r="N207" i="24"/>
  <c r="M64" i="17"/>
  <c r="M122" i="17"/>
  <c r="N68" i="24"/>
  <c r="M39" i="17"/>
  <c r="N91" i="24"/>
  <c r="M54" i="17"/>
  <c r="M116" i="17"/>
  <c r="N103" i="24"/>
  <c r="M75" i="17"/>
  <c r="M119" i="17"/>
  <c r="N201" i="24"/>
  <c r="N87" i="24"/>
  <c r="M52" i="17"/>
  <c r="N83" i="24"/>
  <c r="M51" i="17"/>
  <c r="N49" i="24"/>
  <c r="N58" i="24"/>
  <c r="M36" i="17"/>
  <c r="N220" i="24"/>
  <c r="N96" i="24"/>
  <c r="M71" i="17"/>
  <c r="M112" i="17"/>
  <c r="N79" i="24"/>
  <c r="M50" i="17"/>
  <c r="M110" i="17"/>
  <c r="N190" i="24"/>
  <c r="M49" i="17"/>
  <c r="N52" i="24"/>
  <c r="M34" i="17"/>
  <c r="N106" i="24"/>
  <c r="M76" i="17"/>
  <c r="M120" i="17"/>
  <c r="L129" i="17"/>
  <c r="O34" i="33"/>
  <c r="O29" i="33"/>
  <c r="O35" i="33"/>
  <c r="O73" i="33"/>
  <c r="Q31" i="25"/>
  <c r="R31" i="25"/>
  <c r="R24" i="25"/>
  <c r="K18" i="17"/>
  <c r="AA12" i="55"/>
  <c r="L117" i="17"/>
  <c r="O100" i="24"/>
  <c r="N72" i="17"/>
  <c r="O79" i="24"/>
  <c r="N50" i="17"/>
  <c r="O58" i="24"/>
  <c r="N36" i="17"/>
  <c r="O204" i="24"/>
  <c r="N63" i="17"/>
  <c r="O49" i="24"/>
  <c r="O193" i="24"/>
  <c r="N55" i="17"/>
  <c r="O83" i="24"/>
  <c r="N51" i="17"/>
  <c r="O68" i="24"/>
  <c r="N39" i="17"/>
  <c r="O96" i="24"/>
  <c r="N71" i="17"/>
  <c r="O212" i="24"/>
  <c r="N82" i="17"/>
  <c r="O13" i="24"/>
  <c r="O52" i="24"/>
  <c r="N34" i="17"/>
  <c r="O190" i="24"/>
  <c r="N49" i="17"/>
  <c r="O106" i="24"/>
  <c r="N76" i="17"/>
  <c r="O201" i="24"/>
  <c r="O207" i="24"/>
  <c r="N64" i="17"/>
  <c r="O220" i="24"/>
  <c r="O215" i="24"/>
  <c r="N83" i="17"/>
  <c r="O91" i="24"/>
  <c r="N54" i="17"/>
  <c r="O87" i="24"/>
  <c r="N52" i="17"/>
  <c r="O103" i="24"/>
  <c r="N75" i="17"/>
  <c r="O198" i="24"/>
  <c r="N60" i="17"/>
  <c r="O223" i="24"/>
  <c r="N108" i="17"/>
  <c r="Q85" i="25"/>
  <c r="Q21" i="33"/>
  <c r="Q23" i="33"/>
  <c r="L121" i="17"/>
  <c r="O87" i="25"/>
  <c r="N123" i="17"/>
  <c r="N112" i="17"/>
  <c r="N120" i="17"/>
  <c r="N115" i="17"/>
  <c r="N119" i="17"/>
  <c r="N124" i="17"/>
  <c r="N114" i="17"/>
  <c r="N118" i="17"/>
  <c r="M111" i="17"/>
  <c r="L90" i="17"/>
  <c r="P84" i="25"/>
  <c r="P87" i="25"/>
  <c r="L13" i="55"/>
  <c r="K19" i="17"/>
  <c r="N121" i="17"/>
  <c r="M18" i="17"/>
  <c r="AC12" i="55"/>
  <c r="L18" i="17"/>
  <c r="AB12" i="55"/>
  <c r="N129" i="17"/>
  <c r="Q34" i="33"/>
  <c r="Q35" i="33"/>
  <c r="Q73" i="33"/>
  <c r="N25" i="24"/>
  <c r="N122" i="17"/>
  <c r="O55" i="24"/>
  <c r="N35" i="17"/>
  <c r="M115" i="17"/>
  <c r="M130" i="17"/>
  <c r="P35" i="33"/>
  <c r="P73" i="33"/>
  <c r="F79" i="33" a="1"/>
  <c r="M129" i="17"/>
  <c r="P34" i="33"/>
  <c r="O72" i="33"/>
  <c r="O30" i="33"/>
  <c r="O31" i="33"/>
  <c r="N31" i="33"/>
  <c r="M114" i="17"/>
  <c r="N130" i="17"/>
  <c r="N110" i="17"/>
  <c r="P54" i="33"/>
  <c r="O55" i="33"/>
  <c r="O36" i="33"/>
  <c r="N116" i="17"/>
  <c r="N117" i="17"/>
  <c r="L111" i="17"/>
  <c r="L17" i="55"/>
  <c r="AA14" i="55"/>
  <c r="P80" i="33"/>
  <c r="O80" i="33"/>
  <c r="P81" i="33"/>
  <c r="Q82" i="33"/>
  <c r="F79" i="33"/>
  <c r="O81" i="33"/>
  <c r="N80" i="33"/>
  <c r="P82" i="33"/>
  <c r="Q81" i="33"/>
  <c r="Q83" i="33"/>
  <c r="P30" i="33"/>
  <c r="P72" i="33"/>
  <c r="Q55" i="33"/>
  <c r="P55" i="33"/>
  <c r="F61" i="33" a="1"/>
  <c r="Q36" i="33"/>
  <c r="Q84" i="25"/>
  <c r="Q87" i="25"/>
  <c r="N90" i="17"/>
  <c r="M90" i="17"/>
  <c r="P36" i="33"/>
  <c r="L19" i="17"/>
  <c r="M13" i="55"/>
  <c r="N42" i="49"/>
  <c r="N52" i="49"/>
  <c r="K27" i="17"/>
  <c r="L16" i="54"/>
  <c r="L33" i="54"/>
  <c r="P29" i="33"/>
  <c r="O25" i="24"/>
  <c r="O75" i="24"/>
  <c r="N53" i="17"/>
  <c r="N111" i="17"/>
  <c r="N13" i="55"/>
  <c r="M19" i="17"/>
  <c r="AB14" i="55"/>
  <c r="M17" i="55"/>
  <c r="AC14" i="55"/>
  <c r="N17" i="55"/>
  <c r="N62" i="33"/>
  <c r="Q65" i="33"/>
  <c r="Q63" i="33"/>
  <c r="P64" i="33"/>
  <c r="O62" i="33"/>
  <c r="F61" i="33"/>
  <c r="O63" i="33"/>
  <c r="P63" i="33"/>
  <c r="P62" i="33"/>
  <c r="Q64" i="33"/>
  <c r="Q62" i="33"/>
  <c r="Q30" i="33"/>
  <c r="Q72" i="33"/>
  <c r="O79" i="33"/>
  <c r="O84" i="33"/>
  <c r="O74" i="33"/>
  <c r="O75" i="33"/>
  <c r="M79" i="33"/>
  <c r="M84" i="33"/>
  <c r="M74" i="33"/>
  <c r="M75" i="33"/>
  <c r="N79" i="33"/>
  <c r="N84" i="33"/>
  <c r="N74" i="33"/>
  <c r="N75" i="33"/>
  <c r="Q54" i="33"/>
  <c r="P31" i="33"/>
  <c r="Q29" i="33"/>
  <c r="M27" i="17"/>
  <c r="P42" i="49"/>
  <c r="P52" i="49"/>
  <c r="N16" i="54"/>
  <c r="N33" i="54"/>
  <c r="Q84" i="33"/>
  <c r="Q74" i="33"/>
  <c r="P84" i="33"/>
  <c r="P74" i="33"/>
  <c r="P75" i="33"/>
  <c r="N18" i="17"/>
  <c r="AD12" i="55"/>
  <c r="O42" i="49"/>
  <c r="O52" i="49"/>
  <c r="M16" i="54"/>
  <c r="M33" i="54"/>
  <c r="L27" i="17"/>
  <c r="Q75" i="33"/>
  <c r="N61" i="33"/>
  <c r="N66" i="33"/>
  <c r="Q61" i="33"/>
  <c r="Q66" i="33"/>
  <c r="O61" i="33"/>
  <c r="O66" i="33"/>
  <c r="P61" i="33"/>
  <c r="P66" i="33"/>
  <c r="M61" i="33"/>
  <c r="M66" i="33"/>
  <c r="N19" i="17"/>
  <c r="O13" i="55"/>
  <c r="Q31" i="33"/>
  <c r="O17" i="55"/>
  <c r="AD14" i="55"/>
  <c r="M56" i="33"/>
  <c r="M57" i="33"/>
  <c r="M47" i="33"/>
  <c r="O16" i="54"/>
  <c r="O33" i="54"/>
  <c r="Q42" i="49"/>
  <c r="Q52" i="49"/>
  <c r="N27" i="17"/>
  <c r="P47" i="33"/>
  <c r="M106" i="17"/>
  <c r="P56" i="33"/>
  <c r="P57" i="33"/>
  <c r="Q47" i="33"/>
  <c r="N106" i="17"/>
  <c r="Q56" i="33"/>
  <c r="Q57" i="33"/>
  <c r="O56" i="33"/>
  <c r="O57" i="33"/>
  <c r="O47" i="33"/>
  <c r="L106" i="17"/>
  <c r="N56" i="33"/>
  <c r="N57" i="33"/>
  <c r="N47" i="33"/>
  <c r="K106" i="17"/>
  <c r="J106" i="17"/>
  <c r="M48" i="33"/>
  <c r="N46" i="33"/>
  <c r="N48" i="33"/>
  <c r="M10" i="33"/>
  <c r="J62" i="17"/>
  <c r="M11" i="33"/>
  <c r="O46" i="33"/>
  <c r="O48" i="33"/>
  <c r="N10" i="33"/>
  <c r="K62" i="17"/>
  <c r="N11" i="33"/>
  <c r="P46" i="33"/>
  <c r="P48" i="33"/>
  <c r="O10" i="33"/>
  <c r="O11" i="33"/>
  <c r="L62" i="17"/>
  <c r="Q46" i="33"/>
  <c r="Q48" i="33"/>
  <c r="Q10" i="33"/>
  <c r="P10" i="33"/>
  <c r="M62" i="17"/>
  <c r="P11" i="33"/>
  <c r="Q11" i="33"/>
  <c r="N62" i="17"/>
  <c r="C4" i="16"/>
  <c r="F36" i="49"/>
  <c r="J29" i="17"/>
  <c r="K29" i="17"/>
  <c r="L29" i="17"/>
  <c r="M29" i="17"/>
  <c r="N29" i="17"/>
  <c r="J30" i="17"/>
  <c r="K30" i="17"/>
  <c r="L30" i="17"/>
  <c r="M30" i="17"/>
  <c r="N30" i="17"/>
  <c r="J33" i="17"/>
  <c r="K33" i="17"/>
  <c r="L33" i="17"/>
  <c r="M33" i="17"/>
  <c r="N33" i="17"/>
  <c r="J37" i="17"/>
  <c r="K37" i="17"/>
  <c r="L37" i="17"/>
  <c r="M37" i="17"/>
  <c r="N37" i="17"/>
  <c r="J38" i="17"/>
  <c r="K38" i="17"/>
  <c r="L38" i="17"/>
  <c r="M38" i="17"/>
  <c r="N38" i="17"/>
  <c r="J40" i="17"/>
  <c r="K40" i="17"/>
  <c r="L40" i="17"/>
  <c r="M40" i="17"/>
  <c r="N40" i="17"/>
  <c r="J48" i="17"/>
  <c r="K48" i="17"/>
  <c r="L48" i="17"/>
  <c r="M48" i="17"/>
  <c r="N48" i="17"/>
  <c r="J56" i="17"/>
  <c r="K56" i="17"/>
  <c r="L56" i="17"/>
  <c r="M56" i="17"/>
  <c r="N56" i="17"/>
  <c r="J59" i="17"/>
  <c r="K59" i="17"/>
  <c r="L59" i="17"/>
  <c r="M59" i="17"/>
  <c r="N59" i="17"/>
  <c r="J65" i="17"/>
  <c r="K65" i="17"/>
  <c r="L65" i="17"/>
  <c r="M65" i="17"/>
  <c r="N65" i="17"/>
  <c r="J67" i="17"/>
  <c r="K67" i="17"/>
  <c r="L67" i="17"/>
  <c r="M67" i="17"/>
  <c r="N67" i="17"/>
  <c r="J73" i="17"/>
  <c r="K73" i="17"/>
  <c r="L73" i="17"/>
  <c r="M73" i="17"/>
  <c r="J74" i="17"/>
  <c r="K74" i="17"/>
  <c r="L74" i="17"/>
  <c r="M74" i="17"/>
  <c r="N74" i="17"/>
  <c r="J77" i="17"/>
  <c r="K77" i="17"/>
  <c r="L77" i="17"/>
  <c r="M77" i="17"/>
  <c r="N77" i="17"/>
  <c r="J80" i="17"/>
  <c r="K80" i="17"/>
  <c r="L80" i="17"/>
  <c r="M80" i="17"/>
  <c r="N80" i="17"/>
  <c r="J81" i="17"/>
  <c r="K81" i="17"/>
  <c r="L81" i="17"/>
  <c r="M81" i="17"/>
  <c r="N81" i="17"/>
  <c r="J84" i="17"/>
  <c r="K84" i="17"/>
  <c r="L84" i="17"/>
  <c r="M84" i="17"/>
  <c r="N84" i="17"/>
  <c r="J86" i="17"/>
  <c r="K86" i="17"/>
  <c r="L86" i="17"/>
  <c r="M86" i="17"/>
  <c r="N86" i="17"/>
  <c r="J91" i="17"/>
  <c r="K91" i="17"/>
  <c r="L91" i="17"/>
  <c r="M91" i="17"/>
  <c r="N91" i="17"/>
  <c r="J93" i="17"/>
  <c r="K93" i="17"/>
  <c r="L93" i="17"/>
  <c r="M93" i="17"/>
  <c r="N93" i="17"/>
  <c r="J95" i="17"/>
  <c r="K95" i="17"/>
  <c r="L95" i="17"/>
  <c r="M95" i="17"/>
  <c r="N95" i="17"/>
  <c r="J97" i="17"/>
  <c r="K97" i="17"/>
  <c r="L97" i="17"/>
  <c r="M97" i="17"/>
  <c r="N97" i="17"/>
  <c r="J98" i="17"/>
  <c r="K98" i="17"/>
  <c r="L98" i="17"/>
  <c r="M98" i="17"/>
  <c r="N98" i="17"/>
  <c r="J104" i="17"/>
  <c r="K104" i="17"/>
  <c r="L104" i="17"/>
  <c r="M104" i="17"/>
  <c r="N104" i="17"/>
  <c r="J105" i="17"/>
  <c r="K105" i="17"/>
  <c r="L105" i="17"/>
  <c r="M105" i="17"/>
  <c r="N105" i="17"/>
  <c r="J107" i="17"/>
  <c r="K107" i="17"/>
  <c r="L107" i="17"/>
  <c r="M107" i="17"/>
  <c r="N107" i="17"/>
  <c r="J125" i="17"/>
  <c r="K125" i="17"/>
  <c r="L125" i="17"/>
  <c r="M125" i="17"/>
  <c r="N125" i="17"/>
  <c r="J128" i="17"/>
  <c r="K128" i="17"/>
  <c r="L128" i="17"/>
  <c r="M128" i="17"/>
  <c r="N128" i="17"/>
  <c r="J132" i="17"/>
  <c r="K132" i="17"/>
  <c r="L132" i="17"/>
  <c r="M132" i="17"/>
  <c r="N132" i="17"/>
  <c r="J135" i="17"/>
  <c r="K135" i="17"/>
  <c r="L135" i="17"/>
  <c r="M135" i="17"/>
  <c r="N135" i="17"/>
  <c r="J136" i="17"/>
  <c r="K136" i="17"/>
  <c r="L136" i="17"/>
  <c r="M136" i="17"/>
  <c r="N136" i="17"/>
  <c r="J140" i="17"/>
  <c r="K140" i="17"/>
  <c r="L140" i="17"/>
  <c r="M140" i="17"/>
  <c r="N140" i="17"/>
  <c r="J141" i="17"/>
  <c r="K141" i="17"/>
  <c r="L141" i="17"/>
  <c r="M141" i="17"/>
  <c r="N141" i="17"/>
  <c r="J145" i="17"/>
  <c r="K145" i="17"/>
  <c r="L145" i="17"/>
  <c r="M145" i="17"/>
  <c r="N145" i="17"/>
  <c r="K146" i="17"/>
  <c r="L146" i="17"/>
  <c r="M146" i="17"/>
  <c r="N146" i="17"/>
  <c r="J147" i="17"/>
  <c r="K147" i="17"/>
  <c r="L147" i="17"/>
  <c r="M147" i="17"/>
  <c r="N147" i="17"/>
  <c r="F21" i="49"/>
  <c r="F22" i="49"/>
  <c r="M40" i="49"/>
  <c r="N40" i="49"/>
  <c r="O40" i="49"/>
  <c r="P40" i="49"/>
  <c r="Q40" i="49"/>
  <c r="M44" i="49"/>
  <c r="N44" i="49"/>
  <c r="O44" i="49"/>
  <c r="P44" i="49"/>
  <c r="Q44" i="49"/>
  <c r="M46" i="49"/>
  <c r="N46" i="49"/>
  <c r="O46" i="49"/>
  <c r="P46" i="49"/>
  <c r="Q46" i="49"/>
  <c r="M48" i="49"/>
  <c r="N48" i="49"/>
  <c r="O48" i="49"/>
  <c r="P48" i="49"/>
  <c r="Q48" i="49"/>
  <c r="M53" i="49"/>
  <c r="N53" i="49"/>
  <c r="O53" i="49"/>
  <c r="P53" i="49"/>
  <c r="Q53" i="49"/>
  <c r="M54" i="49"/>
  <c r="N54" i="49"/>
  <c r="O54" i="49"/>
  <c r="P54" i="49"/>
  <c r="Q54" i="49"/>
  <c r="M55" i="49"/>
  <c r="N55" i="49"/>
  <c r="O55" i="49"/>
  <c r="P55" i="49"/>
  <c r="Q55" i="49"/>
  <c r="M56" i="49"/>
  <c r="N56" i="49"/>
  <c r="O56" i="49"/>
  <c r="P56" i="49"/>
  <c r="Q56" i="49"/>
  <c r="M59" i="49"/>
  <c r="N59" i="49"/>
  <c r="O59" i="49"/>
  <c r="P59" i="49"/>
  <c r="Q59" i="49"/>
  <c r="E66" i="49"/>
  <c r="E67" i="49"/>
  <c r="E68" i="49"/>
  <c r="E69" i="49"/>
  <c r="E70" i="49"/>
  <c r="E73" i="49"/>
  <c r="E76" i="49"/>
  <c r="E85" i="49"/>
  <c r="E86" i="49"/>
  <c r="E89" i="49"/>
  <c r="E92" i="49"/>
  <c r="E95" i="49"/>
  <c r="E102" i="49"/>
  <c r="E112" i="49"/>
  <c r="M11" i="25"/>
  <c r="N11" i="25"/>
  <c r="O11" i="25"/>
  <c r="P11" i="25"/>
  <c r="M12" i="25"/>
  <c r="N12" i="25"/>
  <c r="O12" i="25"/>
  <c r="P12" i="25"/>
  <c r="Q12" i="25"/>
  <c r="M13" i="25"/>
  <c r="N13" i="25"/>
  <c r="O13" i="25"/>
  <c r="P13" i="25"/>
  <c r="Q13" i="25"/>
  <c r="N15" i="25"/>
  <c r="O15" i="25"/>
  <c r="P15" i="25"/>
  <c r="Q15" i="25"/>
  <c r="R15" i="25"/>
  <c r="M16" i="25"/>
  <c r="N16" i="25"/>
  <c r="O16" i="25"/>
  <c r="P16" i="25"/>
  <c r="Q16" i="25"/>
  <c r="M17" i="25"/>
  <c r="N17" i="25"/>
  <c r="O17" i="25"/>
  <c r="P17" i="25"/>
  <c r="Q17" i="25"/>
  <c r="M18" i="25"/>
  <c r="N18" i="25"/>
  <c r="O18" i="25"/>
  <c r="P18" i="25"/>
  <c r="Q18" i="25"/>
  <c r="R18" i="25"/>
  <c r="N26" i="25"/>
  <c r="O26" i="25"/>
  <c r="P26" i="25"/>
  <c r="Q26" i="25"/>
  <c r="R26" i="25"/>
  <c r="M27" i="25"/>
  <c r="N27" i="25"/>
  <c r="O27" i="25"/>
  <c r="P27" i="25"/>
  <c r="Q27" i="25"/>
  <c r="R27" i="25"/>
  <c r="M29" i="25"/>
  <c r="N29" i="25"/>
  <c r="O29" i="25"/>
  <c r="P29" i="25"/>
  <c r="Q29" i="25"/>
  <c r="R29" i="25"/>
  <c r="M30" i="25"/>
  <c r="N30" i="25"/>
  <c r="O30" i="25"/>
  <c r="P30" i="25"/>
  <c r="Q30" i="25"/>
  <c r="R30" i="25"/>
  <c r="M32" i="25"/>
  <c r="N32" i="25"/>
  <c r="O32" i="25"/>
  <c r="P32" i="25"/>
  <c r="Q32" i="25"/>
  <c r="R32" i="25"/>
  <c r="N37" i="25"/>
  <c r="O37" i="25"/>
  <c r="P37" i="25"/>
  <c r="Q37" i="25"/>
  <c r="M38" i="25"/>
  <c r="N38" i="25"/>
  <c r="O38" i="25"/>
  <c r="P38" i="25"/>
  <c r="Q38" i="25"/>
  <c r="M39" i="25"/>
  <c r="N39" i="25"/>
  <c r="O39" i="25"/>
  <c r="P39" i="25"/>
  <c r="Q39" i="25"/>
  <c r="M40" i="25"/>
  <c r="N40" i="25"/>
  <c r="O40" i="25"/>
  <c r="P40" i="25"/>
  <c r="Q40" i="25"/>
  <c r="M41" i="25"/>
  <c r="N41" i="25"/>
  <c r="O41" i="25"/>
  <c r="P41" i="25"/>
  <c r="Q41" i="25"/>
  <c r="E58" i="25" a="1"/>
  <c r="E58" i="25"/>
  <c r="N58" i="25"/>
  <c r="O59" i="25"/>
  <c r="P60" i="25"/>
  <c r="Q61" i="25"/>
  <c r="N64" i="25"/>
  <c r="O64" i="25"/>
  <c r="P64" i="25"/>
  <c r="Q64" i="25"/>
  <c r="N69" i="25"/>
  <c r="O69" i="25"/>
  <c r="P69" i="25"/>
  <c r="Q69" i="25"/>
  <c r="M70" i="25"/>
  <c r="N70" i="25"/>
  <c r="O70" i="25"/>
  <c r="P70" i="25"/>
  <c r="Q70" i="25"/>
  <c r="M71" i="25"/>
  <c r="N71" i="25"/>
  <c r="O71" i="25"/>
  <c r="P71" i="25"/>
  <c r="Q71" i="25"/>
  <c r="M72" i="25"/>
  <c r="N72" i="25"/>
  <c r="O72" i="25"/>
  <c r="P72" i="25"/>
  <c r="Q72" i="25"/>
  <c r="M76" i="25"/>
  <c r="N76" i="25"/>
  <c r="O76" i="25"/>
  <c r="P76" i="25"/>
  <c r="Q76" i="25"/>
  <c r="M78" i="25"/>
  <c r="N78" i="25"/>
  <c r="O78" i="25"/>
  <c r="P78" i="25"/>
  <c r="Q78" i="25"/>
  <c r="M79" i="25"/>
  <c r="N79" i="25"/>
  <c r="O79" i="25"/>
  <c r="P79" i="25"/>
  <c r="Q79" i="25"/>
  <c r="K12" i="54"/>
  <c r="L12" i="54"/>
  <c r="M12" i="54"/>
  <c r="N12" i="54"/>
  <c r="O12" i="54"/>
  <c r="K13" i="54"/>
  <c r="L13" i="54"/>
  <c r="M13" i="54"/>
  <c r="N13" i="54"/>
  <c r="O13" i="54"/>
  <c r="K14" i="54"/>
  <c r="L14" i="54"/>
  <c r="M14" i="54"/>
  <c r="N14" i="54"/>
  <c r="O14" i="54"/>
  <c r="K15" i="54"/>
  <c r="L15" i="54"/>
  <c r="M15" i="54"/>
  <c r="N15" i="54"/>
  <c r="O15" i="54"/>
  <c r="K18" i="54"/>
  <c r="L18" i="54"/>
  <c r="M18" i="54"/>
  <c r="N18" i="54"/>
  <c r="O18" i="54"/>
  <c r="K22" i="54"/>
  <c r="L22" i="54"/>
  <c r="M22" i="54"/>
  <c r="N22" i="54"/>
  <c r="O22" i="54"/>
  <c r="K23" i="54"/>
  <c r="L23" i="54"/>
  <c r="M23" i="54"/>
  <c r="N23" i="54"/>
  <c r="O23" i="54"/>
  <c r="K25" i="54"/>
  <c r="L25" i="54"/>
  <c r="M25" i="54"/>
  <c r="N25" i="54"/>
  <c r="O25" i="54"/>
  <c r="K26" i="54"/>
  <c r="L26" i="54"/>
  <c r="M26" i="54"/>
  <c r="N26" i="54"/>
  <c r="O26" i="54"/>
  <c r="K31" i="54"/>
  <c r="L31" i="54"/>
  <c r="M31" i="54"/>
  <c r="N31" i="54"/>
  <c r="O31" i="54"/>
  <c r="K32" i="54"/>
  <c r="L32" i="54"/>
  <c r="M32" i="54"/>
  <c r="N32" i="54"/>
  <c r="O32" i="54"/>
  <c r="K34" i="54"/>
  <c r="L34" i="54"/>
  <c r="M34" i="54"/>
  <c r="N34" i="54"/>
  <c r="O34" i="54"/>
  <c r="K35" i="54"/>
  <c r="L35" i="54"/>
  <c r="M35" i="54"/>
  <c r="N35" i="54"/>
  <c r="O35" i="54"/>
  <c r="K37" i="54"/>
  <c r="L37" i="54"/>
  <c r="M37" i="54"/>
  <c r="N37" i="54"/>
  <c r="O37" i="54"/>
  <c r="Z13" i="55"/>
  <c r="AA13" i="55"/>
  <c r="AB13" i="55"/>
  <c r="AC13" i="55"/>
  <c r="AD13" i="55"/>
  <c r="K15" i="55"/>
  <c r="L15" i="55"/>
  <c r="M15" i="55"/>
  <c r="N15" i="55"/>
  <c r="O15" i="55"/>
  <c r="Z15" i="55"/>
  <c r="AA15" i="55"/>
  <c r="AB15" i="55"/>
  <c r="AC15" i="55"/>
  <c r="AD15" i="55"/>
  <c r="K16" i="55"/>
  <c r="L16" i="55"/>
  <c r="M16" i="55"/>
  <c r="N16" i="55"/>
  <c r="O16" i="55"/>
  <c r="K19" i="55"/>
  <c r="L19" i="55"/>
  <c r="M19" i="55"/>
  <c r="N19" i="55"/>
  <c r="O19" i="55"/>
  <c r="K20" i="55"/>
  <c r="L20" i="55"/>
  <c r="M20" i="55"/>
  <c r="N20" i="55"/>
  <c r="O20" i="55"/>
  <c r="M10" i="23"/>
  <c r="N10" i="23"/>
  <c r="O10" i="23"/>
  <c r="P10" i="23"/>
  <c r="Q10" i="23"/>
  <c r="M11" i="23"/>
  <c r="N11" i="23"/>
  <c r="O11" i="23"/>
  <c r="P11" i="23"/>
  <c r="Q11" i="23"/>
  <c r="M27" i="23"/>
  <c r="N27" i="23"/>
  <c r="O27" i="23"/>
  <c r="P27" i="23"/>
  <c r="Q27" i="23"/>
  <c r="M29" i="23"/>
  <c r="N29" i="23"/>
  <c r="O29" i="23"/>
  <c r="P29" i="23"/>
  <c r="Q29" i="23"/>
  <c r="M35" i="23"/>
  <c r="N35" i="23"/>
  <c r="O35" i="23"/>
  <c r="P35" i="23"/>
  <c r="Q35" i="23"/>
  <c r="M36" i="23"/>
  <c r="N36" i="23"/>
  <c r="O36" i="23"/>
  <c r="P36" i="23"/>
  <c r="Q36" i="23"/>
  <c r="M37" i="23"/>
  <c r="N37" i="23"/>
  <c r="O37" i="23"/>
  <c r="P37" i="23"/>
  <c r="Q37" i="23"/>
  <c r="M38" i="23"/>
  <c r="N38" i="23"/>
  <c r="O38" i="23"/>
  <c r="P38" i="23"/>
  <c r="Q38" i="23"/>
  <c r="M39" i="23"/>
  <c r="N39" i="23"/>
  <c r="O39" i="23"/>
  <c r="P39" i="23"/>
  <c r="Q39" i="23"/>
  <c r="M41" i="23"/>
  <c r="N41" i="23"/>
  <c r="O41" i="23"/>
  <c r="P41" i="23"/>
  <c r="Q41" i="23"/>
  <c r="M42" i="23"/>
  <c r="N42" i="23"/>
  <c r="O42" i="23"/>
  <c r="P42" i="23"/>
  <c r="Q42" i="23"/>
  <c r="M45" i="23"/>
  <c r="N45" i="23"/>
  <c r="O45" i="23"/>
  <c r="P45" i="23"/>
  <c r="Q45" i="23"/>
  <c r="M46" i="23"/>
  <c r="N46" i="23"/>
  <c r="O46" i="23"/>
  <c r="P46" i="23"/>
  <c r="Q46" i="23"/>
  <c r="M47" i="23"/>
  <c r="N47" i="23"/>
  <c r="O47" i="23"/>
  <c r="P47" i="23"/>
  <c r="Q47" i="23"/>
  <c r="M48" i="23"/>
  <c r="N48" i="23"/>
  <c r="O48" i="23"/>
  <c r="P48" i="23"/>
  <c r="Q48" i="23"/>
  <c r="M50" i="23"/>
  <c r="N50" i="23"/>
  <c r="O50" i="23"/>
  <c r="P50" i="23"/>
  <c r="Q50" i="23"/>
  <c r="M51" i="23"/>
  <c r="N51" i="23"/>
  <c r="O51" i="23"/>
  <c r="P51" i="23"/>
  <c r="Q51" i="23"/>
  <c r="M52" i="23"/>
  <c r="N52" i="23"/>
  <c r="O52" i="23"/>
  <c r="P52" i="23"/>
  <c r="Q52" i="23"/>
  <c r="N67" i="23"/>
  <c r="O67" i="23"/>
  <c r="P67" i="23"/>
  <c r="Q67" i="23"/>
  <c r="M68" i="23"/>
  <c r="N68" i="23"/>
  <c r="O68" i="23"/>
  <c r="P68" i="23"/>
  <c r="Q68" i="23"/>
  <c r="M69" i="23"/>
  <c r="N69" i="23"/>
  <c r="O69" i="23"/>
  <c r="P69" i="23"/>
  <c r="Q69" i="23"/>
  <c r="N75" i="23"/>
  <c r="O75" i="23"/>
  <c r="P75" i="23"/>
  <c r="Q75" i="23"/>
  <c r="M76" i="23"/>
  <c r="N76" i="23"/>
  <c r="O76" i="23"/>
  <c r="P76" i="23"/>
  <c r="Q76" i="23"/>
  <c r="M77" i="23"/>
  <c r="N77" i="23"/>
  <c r="O77" i="23"/>
  <c r="P77" i="23"/>
  <c r="Q77" i="23"/>
  <c r="M78" i="23"/>
  <c r="N78" i="23"/>
  <c r="O78" i="23"/>
  <c r="P78" i="23"/>
  <c r="Q78" i="23"/>
  <c r="F82" i="23" a="1"/>
  <c r="F82" i="23"/>
  <c r="M82" i="23"/>
  <c r="N82" i="23"/>
  <c r="O82" i="23"/>
  <c r="P82" i="23"/>
  <c r="Q82" i="23"/>
  <c r="N83" i="23"/>
  <c r="O83" i="23"/>
  <c r="P83" i="23"/>
  <c r="Q83" i="23"/>
  <c r="O84" i="23"/>
  <c r="P84" i="23"/>
  <c r="Q84" i="23"/>
  <c r="P85" i="23"/>
  <c r="Q85" i="23"/>
  <c r="Q86" i="23"/>
  <c r="M87" i="23"/>
  <c r="N87" i="23"/>
  <c r="O87" i="23"/>
  <c r="P87" i="23"/>
  <c r="Q87" i="23"/>
  <c r="N93" i="23"/>
  <c r="O93" i="23"/>
  <c r="P93" i="23"/>
  <c r="Q93" i="23"/>
  <c r="M94" i="23"/>
  <c r="N94" i="23"/>
  <c r="O94" i="23"/>
  <c r="P94" i="23"/>
  <c r="Q94" i="23"/>
  <c r="M95" i="23"/>
  <c r="N95" i="23"/>
  <c r="O95" i="23"/>
  <c r="P95" i="23"/>
  <c r="Q95" i="23"/>
  <c r="M96" i="23"/>
  <c r="N96" i="23"/>
  <c r="O96" i="23"/>
  <c r="P96" i="23"/>
  <c r="Q96" i="23"/>
  <c r="F100" i="23" a="1"/>
  <c r="F100" i="23"/>
  <c r="M100" i="23"/>
  <c r="N100" i="23"/>
  <c r="O100" i="23"/>
  <c r="P100" i="23"/>
  <c r="Q100" i="23"/>
  <c r="N101" i="23"/>
  <c r="O101" i="23"/>
  <c r="P101" i="23"/>
  <c r="Q101" i="23"/>
  <c r="O102" i="23"/>
  <c r="P102" i="23"/>
  <c r="Q102" i="23"/>
  <c r="P103" i="23"/>
  <c r="Q103" i="23"/>
  <c r="Q104" i="23"/>
  <c r="M105" i="23"/>
  <c r="N105" i="23"/>
  <c r="O105" i="23"/>
  <c r="P105" i="23"/>
  <c r="Q105" i="23"/>
  <c r="N111" i="23"/>
  <c r="O111" i="23"/>
  <c r="P111" i="23"/>
  <c r="Q111" i="23"/>
  <c r="M112" i="23"/>
  <c r="N112" i="23"/>
  <c r="O112" i="23"/>
  <c r="P112" i="23"/>
  <c r="Q112" i="23"/>
  <c r="M113" i="23"/>
  <c r="N113" i="23"/>
  <c r="O113" i="23"/>
  <c r="P113" i="23"/>
  <c r="Q113" i="23"/>
  <c r="M114" i="23"/>
  <c r="N114" i="23"/>
  <c r="O114" i="23"/>
  <c r="P114" i="23"/>
  <c r="Q114" i="23"/>
  <c r="F118" i="23" a="1"/>
  <c r="F118" i="23"/>
  <c r="M118" i="23"/>
  <c r="N118" i="23"/>
  <c r="O118" i="23"/>
  <c r="P118" i="23"/>
  <c r="Q118" i="23"/>
  <c r="N119" i="23"/>
  <c r="O119" i="23"/>
  <c r="P119" i="23"/>
  <c r="Q119" i="23"/>
  <c r="O120" i="23"/>
  <c r="P120" i="23"/>
  <c r="Q120" i="23"/>
  <c r="P121" i="23"/>
  <c r="Q121" i="23"/>
  <c r="Q122" i="23"/>
  <c r="M123" i="23"/>
  <c r="N123" i="23"/>
  <c r="O123" i="23"/>
  <c r="P123" i="23"/>
  <c r="Q123" i="23"/>
  <c r="N129" i="23"/>
  <c r="O129" i="23"/>
  <c r="P129" i="23"/>
  <c r="Q129" i="23"/>
  <c r="M130" i="23"/>
  <c r="N130" i="23"/>
  <c r="O130" i="23"/>
  <c r="P130" i="23"/>
  <c r="Q130" i="23"/>
  <c r="M131" i="23"/>
  <c r="N131" i="23"/>
  <c r="O131" i="23"/>
  <c r="P131" i="23"/>
  <c r="Q131" i="23"/>
  <c r="M132" i="23"/>
  <c r="N132" i="23"/>
  <c r="O132" i="23"/>
  <c r="P132" i="23"/>
  <c r="Q132" i="23"/>
  <c r="F136" i="23" a="1"/>
  <c r="F136" i="23"/>
  <c r="M136" i="23"/>
  <c r="N136" i="23"/>
  <c r="O136" i="23"/>
  <c r="P136" i="23"/>
  <c r="Q136" i="23"/>
  <c r="N137" i="23"/>
  <c r="O137" i="23"/>
  <c r="P137" i="23"/>
  <c r="Q137" i="23"/>
  <c r="O138" i="23"/>
  <c r="P138" i="23"/>
  <c r="Q138" i="23"/>
  <c r="P139" i="23"/>
  <c r="Q139" i="23"/>
  <c r="Q140" i="23"/>
  <c r="M141" i="23"/>
  <c r="N141" i="23"/>
  <c r="O141" i="23"/>
  <c r="P141" i="23"/>
  <c r="Q141" i="23"/>
  <c r="N156" i="23"/>
  <c r="O156" i="23"/>
  <c r="P156" i="23"/>
  <c r="Q156" i="23"/>
  <c r="M157" i="23"/>
  <c r="N157" i="23"/>
  <c r="O157" i="23"/>
  <c r="P157" i="23"/>
  <c r="Q157" i="23"/>
  <c r="M158" i="23"/>
  <c r="N158" i="23"/>
  <c r="O158" i="23"/>
  <c r="P158" i="23"/>
  <c r="Q158" i="23"/>
  <c r="M159" i="23"/>
  <c r="N159" i="23"/>
  <c r="O159" i="23"/>
  <c r="P159" i="23"/>
  <c r="Q159" i="23"/>
  <c r="F162" i="23"/>
  <c r="M162" i="23"/>
  <c r="N162" i="23"/>
  <c r="O162" i="23"/>
  <c r="F163" i="23" a="1"/>
  <c r="F163" i="23"/>
  <c r="M163" i="23"/>
  <c r="N163" i="23"/>
  <c r="O163" i="23"/>
  <c r="N164" i="23"/>
  <c r="O164" i="23"/>
  <c r="P164" i="23"/>
  <c r="O165" i="23"/>
  <c r="P165" i="23"/>
  <c r="Q165" i="23"/>
  <c r="P166" i="23"/>
  <c r="Q166" i="23"/>
  <c r="Q167" i="23"/>
  <c r="M168" i="23"/>
  <c r="N168" i="23"/>
  <c r="O168" i="23"/>
  <c r="P168" i="23"/>
  <c r="Q168" i="23"/>
  <c r="N174" i="23"/>
  <c r="O174" i="23"/>
  <c r="P174" i="23"/>
  <c r="Q174" i="23"/>
  <c r="M175" i="23"/>
  <c r="N175" i="23"/>
  <c r="O175" i="23"/>
  <c r="P175" i="23"/>
  <c r="Q175" i="23"/>
  <c r="M176" i="23"/>
  <c r="N176" i="23"/>
  <c r="O176" i="23"/>
  <c r="P176" i="23"/>
  <c r="Q176" i="23"/>
  <c r="K63" i="24"/>
  <c r="L63" i="24"/>
  <c r="M63" i="24"/>
  <c r="N63" i="24"/>
  <c r="O63" i="24"/>
  <c r="K65" i="24"/>
  <c r="L65" i="24"/>
  <c r="M65" i="24"/>
  <c r="N65" i="24"/>
  <c r="O65" i="24"/>
  <c r="K121" i="24"/>
  <c r="L121" i="24"/>
  <c r="M121" i="24"/>
  <c r="N121" i="24"/>
  <c r="O121" i="24"/>
  <c r="K122" i="24"/>
  <c r="L122" i="24"/>
  <c r="M122" i="24"/>
  <c r="N122" i="24"/>
  <c r="O122" i="24"/>
  <c r="K123" i="24"/>
  <c r="L123" i="24"/>
  <c r="M123" i="24"/>
  <c r="N123" i="24"/>
  <c r="O123" i="24"/>
  <c r="K124" i="24"/>
  <c r="L124" i="24"/>
  <c r="M124" i="24"/>
  <c r="N124" i="24"/>
  <c r="O124" i="24"/>
  <c r="K131" i="24"/>
  <c r="L131" i="24"/>
  <c r="M131" i="24"/>
  <c r="N131" i="24"/>
  <c r="O131" i="24"/>
  <c r="K132" i="24"/>
  <c r="L132" i="24"/>
  <c r="M132" i="24"/>
  <c r="N132" i="24"/>
  <c r="O132" i="24"/>
  <c r="K133" i="24"/>
  <c r="L133" i="24"/>
  <c r="M133" i="24"/>
  <c r="N133" i="24"/>
  <c r="O133" i="24"/>
  <c r="K134" i="24"/>
  <c r="L134" i="24"/>
  <c r="M134" i="24"/>
  <c r="N134" i="24"/>
  <c r="O134" i="24"/>
  <c r="L143" i="24"/>
  <c r="M143" i="24"/>
  <c r="N143" i="24"/>
  <c r="O143" i="24"/>
  <c r="K144" i="24"/>
  <c r="L144" i="24"/>
  <c r="M144" i="24"/>
  <c r="N144" i="24"/>
  <c r="O144" i="24"/>
  <c r="K145" i="24"/>
  <c r="L145" i="24"/>
  <c r="M145" i="24"/>
  <c r="N145" i="24"/>
  <c r="O145" i="24"/>
  <c r="K146" i="24"/>
  <c r="L146" i="24"/>
  <c r="M146" i="24"/>
  <c r="N146" i="24"/>
  <c r="O146" i="24"/>
  <c r="K147" i="24"/>
  <c r="L147" i="24"/>
  <c r="M147" i="24"/>
  <c r="N147" i="24"/>
  <c r="O147" i="24"/>
  <c r="K151" i="24"/>
  <c r="L151" i="24"/>
  <c r="M151" i="24"/>
  <c r="N151" i="24"/>
  <c r="O151" i="24"/>
  <c r="K152" i="24"/>
  <c r="L152" i="24"/>
  <c r="M152" i="24"/>
  <c r="N152" i="24"/>
  <c r="O152" i="24"/>
  <c r="D155" i="24" a="1"/>
  <c r="D155" i="24"/>
  <c r="E155" i="24" a="1"/>
  <c r="E155" i="24"/>
  <c r="K155" i="24"/>
  <c r="L155" i="24"/>
  <c r="M155" i="24"/>
  <c r="N155" i="24"/>
  <c r="O155" i="24"/>
  <c r="E156" i="24"/>
  <c r="L156" i="24"/>
  <c r="M156" i="24"/>
  <c r="N156" i="24"/>
  <c r="O156" i="24"/>
  <c r="E157" i="24"/>
  <c r="M157" i="24"/>
  <c r="N157" i="24"/>
  <c r="O157" i="24"/>
  <c r="E158" i="24"/>
  <c r="N158" i="24"/>
  <c r="O158" i="24"/>
  <c r="E159" i="24"/>
  <c r="O159" i="24"/>
  <c r="K160" i="24"/>
  <c r="L160" i="24"/>
  <c r="M160" i="24"/>
  <c r="N160" i="24"/>
  <c r="O160" i="24"/>
  <c r="K164" i="24"/>
  <c r="L164" i="24"/>
  <c r="M164" i="24"/>
  <c r="N164" i="24"/>
  <c r="O164" i="24"/>
  <c r="L169" i="24"/>
  <c r="M169" i="24"/>
  <c r="N169" i="24"/>
  <c r="O169" i="24"/>
  <c r="K170" i="24"/>
  <c r="L170" i="24"/>
  <c r="M170" i="24"/>
  <c r="N170" i="24"/>
  <c r="O170" i="24"/>
  <c r="K171" i="24"/>
  <c r="L171" i="24"/>
  <c r="M171" i="24"/>
  <c r="N171" i="24"/>
  <c r="O171" i="24"/>
  <c r="K172" i="24"/>
  <c r="L172" i="24"/>
  <c r="M172" i="24"/>
  <c r="N172" i="24"/>
  <c r="O172" i="24"/>
  <c r="K173" i="24"/>
  <c r="L173" i="24"/>
  <c r="M173" i="24"/>
  <c r="N173" i="24"/>
  <c r="O173" i="24"/>
  <c r="D177" i="24" a="1"/>
  <c r="D177" i="24"/>
  <c r="K177" i="24"/>
  <c r="L177" i="24"/>
  <c r="M177" i="24"/>
  <c r="N177" i="24"/>
  <c r="O177" i="24"/>
  <c r="L178" i="24"/>
  <c r="M178" i="24"/>
  <c r="N178" i="24"/>
  <c r="O178" i="24"/>
  <c r="M179" i="24"/>
  <c r="N179" i="24"/>
  <c r="O179" i="24"/>
  <c r="N180" i="24"/>
  <c r="O180" i="24"/>
  <c r="O181" i="24"/>
  <c r="K182" i="24"/>
  <c r="L182" i="24"/>
  <c r="M182" i="24"/>
  <c r="N182" i="24"/>
  <c r="O182" i="24"/>
  <c r="K186" i="24"/>
  <c r="L186" i="24"/>
  <c r="M186" i="24"/>
  <c r="N186" i="24"/>
  <c r="O186" i="2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<sst xmlns="http://schemas.openxmlformats.org/spreadsheetml/2006/main" count="1089" uniqueCount="535">
  <si>
    <t>EOS Energy Enterprise</t>
  </si>
  <si>
    <t> </t>
  </si>
  <si>
    <t>Last Updated:</t>
  </si>
  <si>
    <t>COMPANY INFORMATION</t>
  </si>
  <si>
    <t>Company Name:</t>
  </si>
  <si>
    <t>Exchange:</t>
  </si>
  <si>
    <t>NASDAQ</t>
  </si>
  <si>
    <t>Ticker:</t>
  </si>
  <si>
    <t>EOSE</t>
  </si>
  <si>
    <t>Applied Currency:</t>
  </si>
  <si>
    <t>USD Mn</t>
  </si>
  <si>
    <t>Scenario:</t>
  </si>
  <si>
    <t>Base Case</t>
  </si>
  <si>
    <t>BUSINESS DESCRIPTION</t>
  </si>
  <si>
    <t xml:space="preserve">Eos Energy Enterprises is a U.S.-based clean energy company that designs, manufactures, and markets zinc-based battery energy storage systems (BESS) for utility-scale, microgrid, and commercial/industrial applications. Their flagship product, the Eos Znyth™ DC system, is a safe, non-flammable, and scalable alternative to lithium-ion technology for long-duration energy storage, typically from 4 to 16+ hours. The company, founded in 2008 and headquartered in Edison, New Jersey, also provides services like project management and long-term maintenance. </t>
  </si>
  <si>
    <t>STYLE GUIDE</t>
  </si>
  <si>
    <t>Number Format</t>
  </si>
  <si>
    <t>General Format</t>
  </si>
  <si>
    <t>Colour Format</t>
  </si>
  <si>
    <t>_(0.0%_);(0.0%);-</t>
  </si>
  <si>
    <t xml:space="preserve"> Hardcoded Numbers </t>
  </si>
  <si>
    <t>#0000FF</t>
  </si>
  <si>
    <t>_(* #,##0.0_);_(* (#,##0.0);_(* "-"??_);_(@_)</t>
  </si>
  <si>
    <t>Assumptions</t>
  </si>
  <si>
    <t>#FFFFCC</t>
  </si>
  <si>
    <t>#,##0.0);(#,##0.0)</t>
  </si>
  <si>
    <t>From Another Sheet</t>
  </si>
  <si>
    <t>#00B050</t>
  </si>
  <si>
    <t>#,##0.0;(#,##0.0);-</t>
  </si>
  <si>
    <t>Formula</t>
  </si>
  <si>
    <t>#000000</t>
  </si>
  <si>
    <t>Adjustments:</t>
  </si>
  <si>
    <t>EOS Energy Enterprises, Inc. (NASDAQ: EOSE)</t>
  </si>
  <si>
    <t>12M Target Price</t>
  </si>
  <si>
    <t>Scenario</t>
  </si>
  <si>
    <t>Historical</t>
  </si>
  <si>
    <t>Forecasted</t>
  </si>
  <si>
    <t>In USD Mns, unless stated otherwise</t>
  </si>
  <si>
    <t>Days</t>
  </si>
  <si>
    <t>Income Statement</t>
  </si>
  <si>
    <t>Total Revenue</t>
  </si>
  <si>
    <t>EBITDA</t>
  </si>
  <si>
    <t>EBT</t>
  </si>
  <si>
    <t>Operating Income</t>
  </si>
  <si>
    <t>Net Income/(Loss)</t>
  </si>
  <si>
    <t>Balance Sheet</t>
  </si>
  <si>
    <t>Total Asset (EOP)</t>
  </si>
  <si>
    <t>Average Asset</t>
  </si>
  <si>
    <t>Total Equity (EOP)</t>
  </si>
  <si>
    <t>Average Equity</t>
  </si>
  <si>
    <t>Extended DuPont ROE</t>
  </si>
  <si>
    <t>Interest Burden Ratio</t>
  </si>
  <si>
    <t>Tax Burden Ratio</t>
  </si>
  <si>
    <t>Operating Profit Margin</t>
  </si>
  <si>
    <t>Asset Turnover</t>
  </si>
  <si>
    <t>Financial Leverage</t>
  </si>
  <si>
    <t>ROE</t>
  </si>
  <si>
    <t>In USD, unless stated otherwise</t>
  </si>
  <si>
    <t>Units</t>
  </si>
  <si>
    <t>Tax Rate</t>
  </si>
  <si>
    <t>%</t>
  </si>
  <si>
    <t>US Marginal Tax Rate</t>
  </si>
  <si>
    <t>Weighted ERP</t>
  </si>
  <si>
    <t>Relevered Beta</t>
  </si>
  <si>
    <t>x</t>
  </si>
  <si>
    <t>US 10Y Treasury Yield</t>
  </si>
  <si>
    <t>Unit</t>
  </si>
  <si>
    <t>Interest Coverage Ratio</t>
  </si>
  <si>
    <t>Credit Rating</t>
  </si>
  <si>
    <t>Synthetic Credit Spread</t>
  </si>
  <si>
    <t>Total Cash</t>
  </si>
  <si>
    <t>Total Debt</t>
  </si>
  <si>
    <t>USD</t>
  </si>
  <si>
    <t>NOSH</t>
  </si>
  <si>
    <t>Last Closed Share Price</t>
  </si>
  <si>
    <t>Shareholder's Equity</t>
  </si>
  <si>
    <t>Debt + Equity</t>
  </si>
  <si>
    <t>Cost of Debt</t>
  </si>
  <si>
    <t>Cost of Equity</t>
  </si>
  <si>
    <t>WACC</t>
  </si>
  <si>
    <t>Valuation Date</t>
  </si>
  <si>
    <t>3FS</t>
  </si>
  <si>
    <t>Depreciation &amp; Amortization</t>
  </si>
  <si>
    <t>EBIT</t>
  </si>
  <si>
    <t>CapEx</t>
  </si>
  <si>
    <t xml:space="preserve">Net Change in Working Capital </t>
  </si>
  <si>
    <t>Net Working Capital</t>
  </si>
  <si>
    <t>DCF</t>
  </si>
  <si>
    <t>NOPAT</t>
  </si>
  <si>
    <t>(+) D&amp;A</t>
  </si>
  <si>
    <t>(-) CapEx</t>
  </si>
  <si>
    <t>(-) Net Change in Working Capital</t>
  </si>
  <si>
    <t>Unlevered Free Cash Flow (FCFF)</t>
  </si>
  <si>
    <t>Discount Factor</t>
  </si>
  <si>
    <t>Present Value of FCFE</t>
  </si>
  <si>
    <t>Valuation</t>
  </si>
  <si>
    <t>Baseline Terminal Growth Rate</t>
  </si>
  <si>
    <t>Industry EV/Sales</t>
  </si>
  <si>
    <t>2029 FCF * (1+g)</t>
  </si>
  <si>
    <t>2029 Sales (Forecasted)</t>
  </si>
  <si>
    <t>Terminal Value in 2029</t>
  </si>
  <si>
    <t>PV of Terminal Value</t>
  </si>
  <si>
    <t>PV of Stage 1 Cash Flows</t>
  </si>
  <si>
    <t>Total Enterprise Value</t>
  </si>
  <si>
    <t>(-) Debt</t>
  </si>
  <si>
    <t>(+) Cash</t>
  </si>
  <si>
    <t>Total Equity Value</t>
  </si>
  <si>
    <t>Common Shares Outstanding</t>
  </si>
  <si>
    <t>Downside</t>
  </si>
  <si>
    <t>Upside</t>
  </si>
  <si>
    <t>Implied Share Price</t>
  </si>
  <si>
    <t>Total Blended Value</t>
  </si>
  <si>
    <t>Bull Case</t>
  </si>
  <si>
    <t>Bear Case</t>
  </si>
  <si>
    <t>Sensitivity Analysis</t>
  </si>
  <si>
    <t>Terminal Growth Rate</t>
  </si>
  <si>
    <t>Notes:</t>
  </si>
  <si>
    <t>Peer Companies - Unlevered Beta Calculation</t>
  </si>
  <si>
    <t>Peer Companies</t>
  </si>
  <si>
    <t xml:space="preserve">Ticker </t>
  </si>
  <si>
    <t>Industry</t>
  </si>
  <si>
    <t>Location</t>
  </si>
  <si>
    <t xml:space="preserve">EV/Sales </t>
  </si>
  <si>
    <t xml:space="preserve">Levered Beta  </t>
  </si>
  <si>
    <t xml:space="preserve">Debt </t>
  </si>
  <si>
    <t xml:space="preserve">% Debt </t>
  </si>
  <si>
    <t xml:space="preserve">Preferred Stock </t>
  </si>
  <si>
    <t xml:space="preserve">% Preferred </t>
  </si>
  <si>
    <t xml:space="preserve">Equity Value </t>
  </si>
  <si>
    <t xml:space="preserve">% Equity </t>
  </si>
  <si>
    <t xml:space="preserve">Tax Rate </t>
  </si>
  <si>
    <t xml:space="preserve">Unlevered Beta </t>
  </si>
  <si>
    <t xml:space="preserve">Fluence Energy, Inc. </t>
  </si>
  <si>
    <t>FLNC</t>
  </si>
  <si>
    <t xml:space="preserve">Utilities </t>
  </si>
  <si>
    <t>USA</t>
  </si>
  <si>
    <t xml:space="preserve">Industrials </t>
  </si>
  <si>
    <t xml:space="preserve">Solid Power </t>
  </si>
  <si>
    <t>SLDP</t>
  </si>
  <si>
    <t xml:space="preserve">Plug Power </t>
  </si>
  <si>
    <t>PLUG</t>
  </si>
  <si>
    <t xml:space="preserve">Microvast </t>
  </si>
  <si>
    <t>MVST</t>
  </si>
  <si>
    <t>-</t>
  </si>
  <si>
    <t>Average</t>
  </si>
  <si>
    <t>Median</t>
  </si>
  <si>
    <t xml:space="preserve">EOSE Energy Enterprise, Inc - Levered Beta Calculation </t>
  </si>
  <si>
    <t xml:space="preserve">EOS Energy Enterprise, Inc  </t>
  </si>
  <si>
    <t xml:space="preserve">not sure if we should use forecasted year average total debt and equity or the last actual year </t>
  </si>
  <si>
    <t>FY20A</t>
  </si>
  <si>
    <t>FY21A</t>
  </si>
  <si>
    <t>FY22A</t>
  </si>
  <si>
    <t>FY23A</t>
  </si>
  <si>
    <t>FY24A</t>
  </si>
  <si>
    <t>FY25E</t>
  </si>
  <si>
    <t>FY26E</t>
  </si>
  <si>
    <t>FY27E</t>
  </si>
  <si>
    <t>FY28E</t>
  </si>
  <si>
    <t>FY29E</t>
  </si>
  <si>
    <t>Product Revenue</t>
  </si>
  <si>
    <t>Service Revenue</t>
  </si>
  <si>
    <t>%yoy</t>
  </si>
  <si>
    <t>Cost of Goods Sold</t>
  </si>
  <si>
    <t>Gross Profit</t>
  </si>
  <si>
    <t>%revenue</t>
  </si>
  <si>
    <t>Gross Profit Margin</t>
  </si>
  <si>
    <t>OPERATING ITEMS:</t>
  </si>
  <si>
    <t>SG&amp;A</t>
  </si>
  <si>
    <t>R&amp;D</t>
  </si>
  <si>
    <t>Other Operating Expenses</t>
  </si>
  <si>
    <t>Total Operating Expenses</t>
  </si>
  <si>
    <t>Operating Income (EBIT)</t>
  </si>
  <si>
    <t>NON-OPERATING ITEMS</t>
  </si>
  <si>
    <t>Net Interest Exp.</t>
  </si>
  <si>
    <t>Income/(Loss) from Affiliates</t>
  </si>
  <si>
    <t>Asset Writedown</t>
  </si>
  <si>
    <t>Other Unusual Items</t>
  </si>
  <si>
    <t>Earnings Before Taxes</t>
  </si>
  <si>
    <t>Income Tax Expense</t>
  </si>
  <si>
    <t>Minority Interest in Earnings</t>
  </si>
  <si>
    <t>ASSETS:</t>
  </si>
  <si>
    <t>Current Assets</t>
  </si>
  <si>
    <t>Cash And Equivalents</t>
  </si>
  <si>
    <t>Restricted Cash</t>
  </si>
  <si>
    <t>Accounts Receivable</t>
  </si>
  <si>
    <t>Other Receivables</t>
  </si>
  <si>
    <t>Notes Receivable</t>
  </si>
  <si>
    <t>Inventory</t>
  </si>
  <si>
    <t>Prepaid Exp.</t>
  </si>
  <si>
    <t>Other Current Assets</t>
  </si>
  <si>
    <t>Total Current Assets</t>
  </si>
  <si>
    <t>Non Current Assets</t>
  </si>
  <si>
    <t>Net Property, Plant and Equipment</t>
  </si>
  <si>
    <t>Long-term Investments</t>
  </si>
  <si>
    <t>Goodwill</t>
  </si>
  <si>
    <t>Other Intangibles</t>
  </si>
  <si>
    <t>Loans Receivable Long-Term</t>
  </si>
  <si>
    <t>Other Long-Term Assets</t>
  </si>
  <si>
    <t>Total Non Current Assets</t>
  </si>
  <si>
    <t>Total Assets</t>
  </si>
  <si>
    <t>LIABILITIES</t>
  </si>
  <si>
    <t>Current Liabilities</t>
  </si>
  <si>
    <t>Accounts Payable</t>
  </si>
  <si>
    <t>Accrued Exp.</t>
  </si>
  <si>
    <t>Curr. Port. of LT Debt</t>
  </si>
  <si>
    <t>Curr. Port. of Leases</t>
  </si>
  <si>
    <t>Unearned Revenue, Current</t>
  </si>
  <si>
    <t>Other Current Liabilities</t>
  </si>
  <si>
    <t>Total Current Liabilities</t>
  </si>
  <si>
    <t>Non Current Liabilities</t>
  </si>
  <si>
    <t>Long-Term Debt</t>
  </si>
  <si>
    <t>Long-Term Leases</t>
  </si>
  <si>
    <t>Unearned Revenue, Non-Current</t>
  </si>
  <si>
    <t>Other Non-Current Liabilities</t>
  </si>
  <si>
    <t>Total Non Current Liabilities</t>
  </si>
  <si>
    <t>Total Liabilities</t>
  </si>
  <si>
    <t>SHAREHOLDERS' EQUITY:</t>
  </si>
  <si>
    <t>Common Stock</t>
  </si>
  <si>
    <t>Additional Paid In Capital</t>
  </si>
  <si>
    <t>Retained Earnings</t>
  </si>
  <si>
    <t>Comprehensive Inc. and Other</t>
  </si>
  <si>
    <t>Total Common Equity</t>
  </si>
  <si>
    <t>Minority Interest</t>
  </si>
  <si>
    <t>Total Equity</t>
  </si>
  <si>
    <t>Total Liabilities &amp; Shareholders Equity</t>
  </si>
  <si>
    <t>Balance Check</t>
  </si>
  <si>
    <t>Statement of Cash Flows</t>
  </si>
  <si>
    <t>CASH FLOWS FROM OPERATING ACTIVITIES:</t>
  </si>
  <si>
    <t>Net Income</t>
  </si>
  <si>
    <t>Depreciation</t>
  </si>
  <si>
    <t>Amortization of Goodwill &amp; Intangibles</t>
  </si>
  <si>
    <t>Depreciation &amp; Amortization Total</t>
  </si>
  <si>
    <t>Stock-Based Compensation</t>
  </si>
  <si>
    <t>Change in Net Working Capital:</t>
  </si>
  <si>
    <t>(Increase)/Decrease in in Acc. Receivable</t>
  </si>
  <si>
    <t>(Increase)/Decrease in Inventories</t>
  </si>
  <si>
    <t>Increase/(Decrease) in Acc. Payable</t>
  </si>
  <si>
    <t>Change in Other Operating Items</t>
  </si>
  <si>
    <t>Increase/(Decrease) in Other Receivables</t>
  </si>
  <si>
    <t>(Increase)/Decrease in Notes Receivable</t>
  </si>
  <si>
    <t>(Increase)/Decrease in Prepaid Expenses</t>
  </si>
  <si>
    <t>(Increase)/Decrease in Other Current Assets</t>
  </si>
  <si>
    <t>(Increase)/Decrease in Accrued Expenses</t>
  </si>
  <si>
    <t>Increase/(Decrease) in Unearned Revenue, Current</t>
  </si>
  <si>
    <t>Increase/(Decrease) in Other Current Liabilities</t>
  </si>
  <si>
    <t>Increase/(Decrease) in Loans Receivable</t>
  </si>
  <si>
    <t>Increase/(Decrease) in Other Long Term Assets</t>
  </si>
  <si>
    <t>Increase/(Decrease) in Unearned Revenue, Non-Current</t>
  </si>
  <si>
    <t>Increase/(Decrease) in Other Non-Current Liabilities</t>
  </si>
  <si>
    <t>Cash Flow from Operating Activities</t>
  </si>
  <si>
    <t/>
  </si>
  <si>
    <t>CASH FLOWS FROM INVESTING ACTIVITIES:</t>
  </si>
  <si>
    <t>Capital Expenditure</t>
  </si>
  <si>
    <t>Additions to Intangible Assets</t>
  </si>
  <si>
    <t>Invest. in Marketable &amp; Equity Securt.</t>
  </si>
  <si>
    <t>Other Investing Activities</t>
  </si>
  <si>
    <t>Cash Flow from Investing Activities</t>
  </si>
  <si>
    <t>CASH FLOWS FROM FINANCING ACTIVITIES:</t>
  </si>
  <si>
    <t>Debt Repayments</t>
  </si>
  <si>
    <t>Debt Drawdowns</t>
  </si>
  <si>
    <t>Issuance of Common Stock</t>
  </si>
  <si>
    <t>Repurchase of Common Stock</t>
  </si>
  <si>
    <t>Issuance of Pref. Stock</t>
  </si>
  <si>
    <t>Other Financing Activities</t>
  </si>
  <si>
    <t>Cash Flow from Financing Activities</t>
  </si>
  <si>
    <t>CHANGES IN CASH AND EQUIVALENTS:</t>
  </si>
  <si>
    <t>(+) Foreign Exchange Rate Effect on Cash and Cash Equivalents</t>
  </si>
  <si>
    <t>Cash Flow Net Changes in Cash</t>
  </si>
  <si>
    <t>(+) Cash and Cash Equivalents, BOP</t>
  </si>
  <si>
    <t>Cash and Cash Equivalents, EOP</t>
  </si>
  <si>
    <t>Fiscal Year End Date</t>
  </si>
  <si>
    <t>Revenue Build</t>
  </si>
  <si>
    <t>COGS</t>
  </si>
  <si>
    <t>Cost of Sales</t>
  </si>
  <si>
    <t>%Revenue</t>
  </si>
  <si>
    <t>Operating Expenses</t>
  </si>
  <si>
    <t>Other Operating Expenses/(Income)</t>
  </si>
  <si>
    <t>Non-Operating Expenses</t>
  </si>
  <si>
    <t>Before Tax Items</t>
  </si>
  <si>
    <t>Net Interest Expense</t>
  </si>
  <si>
    <t>After Tax Items</t>
  </si>
  <si>
    <t>Earnings before Taxes</t>
  </si>
  <si>
    <t>Provision for Income Tax</t>
  </si>
  <si>
    <t>%Effective Tax Rate</t>
  </si>
  <si>
    <t>Minority Interest (After Tax)</t>
  </si>
  <si>
    <t>Operating Working Capital Items</t>
  </si>
  <si>
    <t>Current Operating Working Capital Assets</t>
  </si>
  <si>
    <t>Inventories</t>
  </si>
  <si>
    <t>Inventory Turnover Ratio</t>
  </si>
  <si>
    <t>DIO</t>
  </si>
  <si>
    <t>Accounts Receivables</t>
  </si>
  <si>
    <t>Receivables Turnover Ratio</t>
  </si>
  <si>
    <t>DSO</t>
  </si>
  <si>
    <t>Prepaid Expenses</t>
  </si>
  <si>
    <t>Current Operating Working Capital Liabilities</t>
  </si>
  <si>
    <t>Payable Turnover Ratio</t>
  </si>
  <si>
    <t>DPO</t>
  </si>
  <si>
    <t>Accrued Expenses</t>
  </si>
  <si>
    <t>Lease</t>
  </si>
  <si>
    <t>Finance Lease Liabilities</t>
  </si>
  <si>
    <t>Weighted-Average Discount Rate (%)</t>
  </si>
  <si>
    <t>Face Value</t>
  </si>
  <si>
    <t>Existing Lease Payments</t>
  </si>
  <si>
    <t>Finance Lease Liabilities:</t>
  </si>
  <si>
    <t>Current Portion of Finance Leases, Existing</t>
  </si>
  <si>
    <t>Long-Term Finance Leases, Existing</t>
  </si>
  <si>
    <t>Total Finance Lease Liabiltiies</t>
  </si>
  <si>
    <t>%Breakdown</t>
  </si>
  <si>
    <t>%Current Portion of Leases</t>
  </si>
  <si>
    <t>%Long-Term Leases</t>
  </si>
  <si>
    <t>Total</t>
  </si>
  <si>
    <t>Total Interest Payments</t>
  </si>
  <si>
    <t>Total Principal Repayments</t>
  </si>
  <si>
    <t>Total Finance Lease Repayments</t>
  </si>
  <si>
    <t>Total Additions to Finance Lease Liabilities</t>
  </si>
  <si>
    <t xml:space="preserve">Existing Lease Liabilities </t>
  </si>
  <si>
    <t>Existing Finance Lease liabilities, BOP</t>
  </si>
  <si>
    <t>(+) Interest</t>
  </si>
  <si>
    <t xml:space="preserve">(-) Lease Payments </t>
  </si>
  <si>
    <t>Existing Finance Lease Liabilties, EOP</t>
  </si>
  <si>
    <t>New Finance Lease Liabilities</t>
  </si>
  <si>
    <t>New Finance Lease liabilities, BOP</t>
  </si>
  <si>
    <t>(+) Additions</t>
  </si>
  <si>
    <t>New Finance Lease Liabilties, EOP</t>
  </si>
  <si>
    <t>Weighted-Average Remaining Lease Term:</t>
  </si>
  <si>
    <t>Beginning Year</t>
  </si>
  <si>
    <t>Amount</t>
  </si>
  <si>
    <t>PMT</t>
  </si>
  <si>
    <t>Total Interest</t>
  </si>
  <si>
    <t>Finance Right-Of-Use Assets</t>
  </si>
  <si>
    <t>Additions to Finance Right-Of-Use Assets</t>
  </si>
  <si>
    <t>Useful Life</t>
  </si>
  <si>
    <t>BOP Finance Lease Right-Of-Use Assets, Net</t>
  </si>
  <si>
    <t>(-) Depreciation</t>
  </si>
  <si>
    <t>Finance Lease Right-Of-Use Assets, Net</t>
  </si>
  <si>
    <t>Final Year</t>
  </si>
  <si>
    <t>Total Depreciation</t>
  </si>
  <si>
    <t xml:space="preserve">Other Balance Sheet Items </t>
  </si>
  <si>
    <t>Cash and Equivalents</t>
  </si>
  <si>
    <t>Non-Current Assets</t>
  </si>
  <si>
    <t>Non-Current Liabilities</t>
  </si>
  <si>
    <t>Comprehensive Income</t>
  </si>
  <si>
    <t>Stock Based Compensation</t>
  </si>
  <si>
    <t>Historical (31 Jan)</t>
  </si>
  <si>
    <t>Forecast (31 Jan)</t>
  </si>
  <si>
    <t>Fiscal year end date</t>
  </si>
  <si>
    <t>Debt Schedule</t>
  </si>
  <si>
    <t>Financial Debt, Current</t>
  </si>
  <si>
    <t>Financial Debt, Non-Current</t>
  </si>
  <si>
    <t>Total Debt, BOP</t>
  </si>
  <si>
    <t>(+) Borrowings</t>
  </si>
  <si>
    <t>(-) Repayments</t>
  </si>
  <si>
    <t>Total Debt, EOP</t>
  </si>
  <si>
    <t>Revolver Needs Analysis</t>
  </si>
  <si>
    <t>CIRCULARITY</t>
  </si>
  <si>
    <t>off</t>
  </si>
  <si>
    <t>Revenue</t>
  </si>
  <si>
    <t>Beginning Cash and Equivalents</t>
  </si>
  <si>
    <t>(+) Cash Flow from Operations + Investing</t>
  </si>
  <si>
    <t>(-) Debt Principal Repayment</t>
  </si>
  <si>
    <t>(-) Mandatory Lease Repayments</t>
  </si>
  <si>
    <t>(-) Dividends</t>
  </si>
  <si>
    <t>(-) Minimum Cash Balance</t>
  </si>
  <si>
    <t>Cash Surplus/(Required Fundraise)</t>
  </si>
  <si>
    <t>Assumptions:</t>
  </si>
  <si>
    <t>Discretionary Borrowing as % revenue</t>
  </si>
  <si>
    <t>Credit Revolver, BOP</t>
  </si>
  <si>
    <t>(+) Draw</t>
  </si>
  <si>
    <t>(-) Paydown</t>
  </si>
  <si>
    <t>(+) Discretionary Borrowing</t>
  </si>
  <si>
    <t>Credit Revolver, EOP</t>
  </si>
  <si>
    <t>Repayment Schedule</t>
  </si>
  <si>
    <t>Principal Repayments</t>
  </si>
  <si>
    <t>Loans from banks</t>
  </si>
  <si>
    <t>Principal</t>
  </si>
  <si>
    <t>Effective Rate</t>
  </si>
  <si>
    <t>Maturity</t>
  </si>
  <si>
    <t>Financial Debt</t>
  </si>
  <si>
    <t>Interest Schedule</t>
  </si>
  <si>
    <t>Credit Revolver</t>
  </si>
  <si>
    <t>Interest Rate</t>
  </si>
  <si>
    <t>Total Interest Expense</t>
  </si>
  <si>
    <t>Equity Schedule</t>
  </si>
  <si>
    <t>Retained Earnings BOP</t>
  </si>
  <si>
    <t>(+) Net Income</t>
  </si>
  <si>
    <t>Retained Earnings (EOP)</t>
  </si>
  <si>
    <t>Dividend Schedule</t>
  </si>
  <si>
    <t>Dividends</t>
  </si>
  <si>
    <t>Common Shares (Basic)</t>
  </si>
  <si>
    <t>Dividends Per Share ($)</t>
  </si>
  <si>
    <t>Earnings Per Share ($)</t>
  </si>
  <si>
    <t>Payout Ratio</t>
  </si>
  <si>
    <t>APIC Opening</t>
  </si>
  <si>
    <t xml:space="preserve"> SBC Expense</t>
  </si>
  <si>
    <t xml:space="preserve"> Cash Equity Issuance</t>
  </si>
  <si>
    <t>APIC Closing</t>
  </si>
  <si>
    <t>PPE</t>
  </si>
  <si>
    <t>Property, Plant &amp; Equipment</t>
  </si>
  <si>
    <t>USD Mns</t>
  </si>
  <si>
    <t>Useful Life :</t>
  </si>
  <si>
    <t>Min</t>
  </si>
  <si>
    <t>Max</t>
  </si>
  <si>
    <t>ROU Asset</t>
  </si>
  <si>
    <t>Equipment</t>
  </si>
  <si>
    <t>Finance Lease</t>
  </si>
  <si>
    <t>Furniture</t>
  </si>
  <si>
    <t>Leasehold Improvements</t>
  </si>
  <si>
    <t>Tooling</t>
  </si>
  <si>
    <t>Construction In Progress</t>
  </si>
  <si>
    <t>PPE CapEx</t>
  </si>
  <si>
    <t>Depreciation/Capex Ratio</t>
  </si>
  <si>
    <t>Capex Schedule and Allocation</t>
  </si>
  <si>
    <t>COST ALLOCATION:</t>
  </si>
  <si>
    <t xml:space="preserve">PPE, gross </t>
  </si>
  <si>
    <t>PPE NET ADDITIONS:</t>
  </si>
  <si>
    <t xml:space="preserve">Total Net Additions </t>
  </si>
  <si>
    <t>% OF ADDITIONS:</t>
  </si>
  <si>
    <t>Total(%)</t>
  </si>
  <si>
    <t>Depreciation Schedules</t>
  </si>
  <si>
    <t>ACCUMULATED DEPRECIATION:</t>
  </si>
  <si>
    <t>Beginning Accumulated Depreciation</t>
  </si>
  <si>
    <t>(+) Depreciation</t>
  </si>
  <si>
    <t>Ending Accumulated Depreciation</t>
  </si>
  <si>
    <t>Beginning Balance</t>
  </si>
  <si>
    <t>Finance ROU Asset, BOP</t>
  </si>
  <si>
    <t>Ending Balance, net</t>
  </si>
  <si>
    <t>Intangibles</t>
  </si>
  <si>
    <t>Patent</t>
  </si>
  <si>
    <t>Software</t>
  </si>
  <si>
    <t>Addition to Intangible Assets</t>
  </si>
  <si>
    <t>% Revenue</t>
  </si>
  <si>
    <t>CAPEX Schedule and Allocation</t>
  </si>
  <si>
    <t>Cost Allocation</t>
  </si>
  <si>
    <t>Trademark</t>
  </si>
  <si>
    <t>Non-Compete Agreement</t>
  </si>
  <si>
    <t>Intangible Assets, Gross</t>
  </si>
  <si>
    <t>Net Addition</t>
  </si>
  <si>
    <t>Total Net Addition</t>
  </si>
  <si>
    <t>% of Addition</t>
  </si>
  <si>
    <t>Total (%)</t>
  </si>
  <si>
    <t>Depreciation Schedule</t>
  </si>
  <si>
    <t>Total Amortization</t>
  </si>
  <si>
    <t>Beginning Accumulated Amortization</t>
  </si>
  <si>
    <t>(+) Amortization</t>
  </si>
  <si>
    <t>Ending Accumulated Amortization</t>
  </si>
  <si>
    <t>Live Case</t>
  </si>
  <si>
    <t>Revenue Segments</t>
  </si>
  <si>
    <t>Product</t>
  </si>
  <si>
    <t>Service</t>
  </si>
  <si>
    <t>Revenue Per Segment Growth Rate</t>
  </si>
  <si>
    <t>Product Revenue Breakdown</t>
  </si>
  <si>
    <t>Service Revenue Breakdown</t>
  </si>
  <si>
    <t>Earnings</t>
  </si>
  <si>
    <t>YoY%</t>
  </si>
  <si>
    <t>Profit</t>
  </si>
  <si>
    <t>Profit Margin</t>
  </si>
  <si>
    <t>Commercial Pipeline</t>
  </si>
  <si>
    <t>Supply Capacity Target</t>
  </si>
  <si>
    <t>Date</t>
  </si>
  <si>
    <t>Pipeline (USD bn)</t>
  </si>
  <si>
    <t>Pipeline (Gwh)</t>
  </si>
  <si>
    <t>2024 Q1</t>
  </si>
  <si>
    <t>2023 Q4</t>
  </si>
  <si>
    <t>2024 Q3</t>
  </si>
  <si>
    <t>2024 Q2</t>
  </si>
  <si>
    <t>2025 Q1</t>
  </si>
  <si>
    <t>2024 Q4</t>
  </si>
  <si>
    <t>2025 Q3</t>
  </si>
  <si>
    <t>Open</t>
  </si>
  <si>
    <t>High</t>
  </si>
  <si>
    <t>Low</t>
  </si>
  <si>
    <t>Close</t>
  </si>
  <si>
    <t>Volume</t>
  </si>
  <si>
    <t>Inputs for synthetic rating estimation</t>
  </si>
  <si>
    <t>Yes</t>
  </si>
  <si>
    <t>Please read the special cases worksheet (see below) before you use this spreadsheet.</t>
  </si>
  <si>
    <t>No</t>
  </si>
  <si>
    <t>Before you use this spreadsheet, make sure that the iteration box (under calculation options in excel) is checked.</t>
  </si>
  <si>
    <t>Enter the type of firm =</t>
  </si>
  <si>
    <t>(Enter 1 if large manufacturing firm, 2 if smaller or riskier firm, 3 if financial service firm)</t>
  </si>
  <si>
    <t>Small: &lt;$5 billion</t>
  </si>
  <si>
    <t>Do you have any operating lease or rental commitments?</t>
  </si>
  <si>
    <t>Yes or No</t>
  </si>
  <si>
    <t>Enter current Earnings before interest and taxes (EBIT) =</t>
  </si>
  <si>
    <t>(Add back only long term interest expense for financial firms)</t>
  </si>
  <si>
    <t>Enter current interest expenses =</t>
  </si>
  <si>
    <t>(Use only long term interest expense for financial firms)</t>
  </si>
  <si>
    <t>Enter current long term government bond rate =</t>
  </si>
  <si>
    <t>Output</t>
  </si>
  <si>
    <t>Interest  coverage ratio =</t>
  </si>
  <si>
    <t>Estimated Bond Rating =</t>
  </si>
  <si>
    <t>Note: If you get REF! All over the place, set the operating lease commitment question in cell F5</t>
  </si>
  <si>
    <t>Estimated Default Spread =</t>
  </si>
  <si>
    <t>to No, and then reset it to Yes. It should work.</t>
  </si>
  <si>
    <t>Estimated Cost of Debt =</t>
  </si>
  <si>
    <t xml:space="preserve"> If you want to update the spreads listed below, please visit http://www.bondsonline.com</t>
  </si>
  <si>
    <t>For large non-financial service firms</t>
  </si>
  <si>
    <t>For financial service firms (default spreads are slighty different)</t>
  </si>
  <si>
    <t>If interest coverage ratio is</t>
  </si>
  <si>
    <t>If long term interest coverage ratio is</t>
  </si>
  <si>
    <t>&gt;</t>
  </si>
  <si>
    <t>≤ to</t>
  </si>
  <si>
    <t>Rating is</t>
  </si>
  <si>
    <t>Spread is</t>
  </si>
  <si>
    <t>greater than</t>
  </si>
  <si>
    <t>D2/D</t>
  </si>
  <si>
    <t>C2/C</t>
  </si>
  <si>
    <t>Ca2/CC</t>
  </si>
  <si>
    <t>Caa/CCC</t>
  </si>
  <si>
    <t>B3/B-</t>
  </si>
  <si>
    <t>B2/B</t>
  </si>
  <si>
    <t>B1/B+</t>
  </si>
  <si>
    <t>Ba2/BB</t>
  </si>
  <si>
    <t>Ba1/BB+</t>
  </si>
  <si>
    <t>Baa2/BBB</t>
  </si>
  <si>
    <t>A3/A-</t>
  </si>
  <si>
    <t>A2/A</t>
  </si>
  <si>
    <t>A1/A+</t>
  </si>
  <si>
    <t>Aa2/AA</t>
  </si>
  <si>
    <t>Aaa/AAA</t>
  </si>
  <si>
    <t>For smaller and riskier firms</t>
  </si>
  <si>
    <t>Share Price as of 7th Nov, 2025</t>
  </si>
  <si>
    <t>Average of Forecasted Interest Expense / Average of Forecasted EBIT</t>
  </si>
  <si>
    <t>DON’T USE Forecasted</t>
  </si>
  <si>
    <t xml:space="preserve">FuelCell Energy </t>
  </si>
  <si>
    <t xml:space="preserve">FCEL </t>
  </si>
  <si>
    <t>Relevered the Unlevered beta taken from the average of competitors</t>
  </si>
  <si>
    <t>%YoY</t>
  </si>
  <si>
    <t>US Market ERP 5% (Kroll) + Size Premium 4% (Damodaran)</t>
  </si>
  <si>
    <t>LTM Total Interest Expense 
(Average of Forecasted)</t>
  </si>
  <si>
    <t>Comparables</t>
  </si>
  <si>
    <t xml:space="preserve">Target Share Price - Comparables </t>
  </si>
  <si>
    <t xml:space="preserve">Target Share Price - Discounted Cash Flow </t>
  </si>
  <si>
    <t>EV/Sales Multiple</t>
  </si>
  <si>
    <t>Capex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</si>
</sst>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6">
    <numFmt numFmtId="41" formatCode="_(* #,##0_);_(* \(#,##0\);_(* &quot;-&quot;_);_(@_)"/>
    <numFmt numFmtId="43" formatCode="_(* #,##0.00_);_(* \(#,##0.00\);_(* &quot;-&quot;??_);_(@_)"/>
    <numFmt numFmtId="164" formatCode="_(&quot;$&quot;* #,##0.00_);_(&quot;$&quot;* \(#,##0.00\);_(&quot;$&quot;* &quot;-&quot;??_);_(@_)"/>
    <numFmt numFmtId="165" formatCode="_-* #,##0.00_-;\-* #,##0.00_-;_-* &quot;-&quot;??_-;_-@_-"/>
    <numFmt numFmtId="166" formatCode="_(* #,##0.0_);_(* \(#,##0.0\)_)\ ;_(* 0_)"/>
    <numFmt numFmtId="167" formatCode="_(#,##0.00%_);_(\(#,##0.00%\)_);_(#,##0.00%_)"/>
    <numFmt numFmtId="168" formatCode="_(\ #,##0.0_);_(\ \(#,##0.0\)_);_(\ &quot; - &quot;_)"/>
    <numFmt numFmtId="169" formatCode="&quot;FY&quot;0&quot;A&quot;"/>
    <numFmt numFmtId="170" formatCode="&quot;FY&quot;0"/>
    <numFmt numFmtId="171" formatCode="_(0.0%_);\(0.0%\);\-"/>
    <numFmt numFmtId="172" formatCode="_(* #,##0.0_);_(* \(#,##0.0\);_(* &quot;-&quot;??_);_(@_)"/>
    <numFmt numFmtId="173" formatCode="0.0%"/>
    <numFmt numFmtId="174" formatCode="_(* #,##0.0_);_(* \(#,##0.0\);_(* &quot;-&quot;?_);_(@_)"/>
    <numFmt numFmtId="175" formatCode="0\ &quot;Years&quot;"/>
    <numFmt numFmtId="176" formatCode="0.0%;\(0.0\)%;\-"/>
    <numFmt numFmtId="177" formatCode="_-* #,##0.0_-;\-* #,##0.0_-;_-* &quot;-&quot;?_-;_-@_-"/>
    <numFmt numFmtId="178" formatCode="&quot;FY&quot;0&quot;E&quot;\ "/>
    <numFmt numFmtId="179" formatCode="_(* #,##0.00000_);_(* \(#,##0.00000\);_(* &quot;-&quot;??_);_(@_)"/>
    <numFmt numFmtId="180" formatCode="&quot;FY&quot;General&quot;E&quot;"/>
    <numFmt numFmtId="181" formatCode="0.00_);\(0.00\)"/>
    <numFmt numFmtId="182" formatCode="0\ &quot;days&quot;"/>
    <numFmt numFmtId="183" formatCode="0\ &quot;years&quot;"/>
    <numFmt numFmtId="184" formatCode="&quot;$&quot;#,##0_);\(&quot;$&quot;#,##0\);&quot;-&quot;"/>
    <numFmt numFmtId="185" formatCode="_(* #,##0_);_(* \(#,##0\);_(* &quot;-&quot;??_);_(@_)"/>
    <numFmt numFmtId="186" formatCode="&quot;FY&quot;General&quot;A&quot;"/>
    <numFmt numFmtId="187" formatCode="#,##0.0"/>
    <numFmt numFmtId="188" formatCode="#,##0.0_);\(#,##0.0\)"/>
    <numFmt numFmtId="189" formatCode="0.0"/>
    <numFmt numFmtId="190" formatCode="#,##0.0;\(#,##0.0\)"/>
    <numFmt numFmtId="191" formatCode="#,##0.0;\(#,##0.0\);\-"/>
    <numFmt numFmtId="192" formatCode="&quot;FY&quot;0&quot;E&quot;"/>
    <numFmt numFmtId="193" formatCode="_(* #,##0.00_);_(* \(#,##0.00\);_(* &quot;-&quot;_);_(@_)"/>
    <numFmt numFmtId="194" formatCode="&quot;$&quot;#,##0.00"/>
    <numFmt numFmtId="195" formatCode="0.0000"/>
    <numFmt numFmtId="196" formatCode="_(0.00%_);\(0.00%\);\-"/>
    <numFmt numFmtId="197" formatCode="&quot;$&quot;#,##0.00_);\(&quot;$&quot;#,##0.00\);&quot;-&quot;"/>
    <numFmt numFmtId="198" formatCode="#,##0.0\x;\(#,##0.0\x\);\-"/>
    <numFmt numFmtId="199" formatCode="_(0.00_);\(0.00\);\-"/>
    <numFmt numFmtId="200" formatCode="0000\F"/>
    <numFmt numFmtId="201" formatCode="_(#,##0_);\(#,##0\);_(&quot;–&quot;_);_(@_)"/>
    <numFmt numFmtId="202" formatCode="#,##0_);\(#,##0\);\-"/>
    <numFmt numFmtId="203" formatCode="_(0.0\x_);\(0.0\x\);_(&quot;–&quot;_);_(@_)"/>
    <numFmt numFmtId="204" formatCode="_(#,##0.0%_);\(#,##0.0%\);_(&quot;–&quot;_)_%;_(@_)_%"/>
    <numFmt numFmtId="205" formatCode="_(#,##0.00_);\(#,##0.00\);_(&quot;–&quot;_);_(@_)"/>
    <numFmt numFmtId="206" formatCode="&quot;Q&quot;0"/>
    <numFmt numFmtId="207" formatCode="_(#,##0.0\x_);\(#,##0.0\x\);_(&quot;–&quot;_)_x;_(@_)_x"/>
  </numFmts>
  <fonts count="160">
    <font>
      <sz val="10"/>
      <name val="Arial"/>
    </font>
    <font>
      <sz val="12"/>
      <color theme="1"/>
      <name val="Calibri"/>
      <family val="2"/>
      <scheme val="minor"/>
    </font>
    <font>
      <sz val="11"/>
      <color theme="1"/>
      <name val="Calibri"/>
      <family val="2"/>
      <scheme val="minor"/>
    </font>
    <font>
      <sz val="12"/>
      <color theme="1"/>
      <name val="Calibri"/>
      <family val="2"/>
      <scheme val="minor"/>
    </font>
    <font>
      <sz val="12"/>
      <color theme="1"/>
      <name val="Calibri"/>
      <family val="2"/>
      <scheme val="minor"/>
    </font>
    <font>
      <b/>
      <sz val="13"/>
      <color indexed="8"/>
      <name val="Verdana"/>
      <family val="2"/>
    </font>
    <font>
      <b/>
      <sz val="12"/>
      <color indexed="8"/>
      <name val="Verdana"/>
      <family val="2"/>
    </font>
    <font>
      <b/>
      <sz val="10"/>
      <color indexed="9"/>
      <name val="Arial"/>
      <family val="2"/>
    </font>
    <font>
      <b/>
      <u val="singleAccounting"/>
      <sz val="8"/>
      <color indexed="8"/>
      <name val="Verdana"/>
      <family val="2"/>
    </font>
    <font>
      <b/>
      <sz val="8"/>
      <color indexed="9"/>
      <name val="Verdana"/>
      <family val="2"/>
    </font>
    <font>
      <b/>
      <u val="singleAccounting"/>
      <sz val="8"/>
      <color indexed="8"/>
      <name val="Arial"/>
      <family val="2"/>
    </font>
    <font>
      <sz val="8"/>
      <color indexed="8"/>
      <name val="Arial"/>
      <family val="2"/>
    </font>
    <font>
      <vertAlign val="superscript"/>
      <sz val="8"/>
      <color indexed="8"/>
      <name val="Arial"/>
      <family val="2"/>
    </font>
    <font>
      <vertAlign val="subscript"/>
      <sz val="8"/>
      <color indexed="8"/>
      <name val="Arial"/>
      <family val="2"/>
    </font>
    <font>
      <b/>
      <sz val="8"/>
      <color indexed="8"/>
      <name val="Arial"/>
      <family val="2"/>
    </font>
    <font>
      <i/>
      <sz val="8"/>
      <color indexed="8"/>
      <name val="Arial"/>
      <family val="2"/>
    </font>
    <font>
      <sz val="1"/>
      <color indexed="9"/>
      <name val="Symbol"/>
      <family val="1"/>
      <charset val="2"/>
    </font>
    <font>
      <sz val="10"/>
      <color indexed="8"/>
      <name val="Arial"/>
      <family val="2"/>
    </font>
    <font>
      <b/>
      <sz val="8"/>
      <color indexed="8"/>
      <name val="Verdana"/>
      <family val="2"/>
    </font>
    <font>
      <sz val="10"/>
      <name val="Arial"/>
      <family val="2"/>
    </font>
    <font>
      <sz val="10"/>
      <name val="Arial"/>
      <family val="2"/>
    </font>
    <font>
      <sz val="10"/>
      <color indexed="9"/>
      <name val="Arial"/>
      <family val="2"/>
    </font>
    <font>
      <sz val="12"/>
      <color theme="1"/>
      <name val="Segoe UI"/>
      <family val="2"/>
    </font>
    <font>
      <sz val="11"/>
      <color theme="1"/>
      <name val="Aptos Narrow"/>
      <family val="2"/>
    </font>
    <font>
      <sz val="11"/>
      <color theme="1"/>
      <name val="Calibri"/>
      <family val="2"/>
      <scheme val="minor"/>
    </font>
    <font>
      <sz val="10"/>
      <color theme="1"/>
      <name val="Segoe UI Semilight"/>
      <family val="2"/>
    </font>
    <font>
      <sz val="11"/>
      <color theme="0"/>
      <name val="Calibri"/>
      <family val="2"/>
      <scheme val="minor"/>
    </font>
    <font>
      <sz val="18"/>
      <color theme="0"/>
      <name val="Calibri"/>
      <family val="2"/>
      <scheme val="minor"/>
    </font>
    <font>
      <u/>
      <sz val="11"/>
      <color theme="0"/>
      <name val="Calibri"/>
      <family val="2"/>
      <scheme val="minor"/>
    </font>
    <font>
      <sz val="9"/>
      <color theme="1"/>
      <name val="Trebuchet MS"/>
      <family val="2"/>
    </font>
    <font>
      <b/>
      <sz val="12"/>
      <color theme="0"/>
      <name val="Calibri"/>
      <family val="2"/>
      <scheme val="minor"/>
    </font>
    <font>
      <sz val="12"/>
      <color rgb="FFFF0000"/>
      <name val="Calibri"/>
      <family val="2"/>
      <scheme val="minor"/>
    </font>
    <font>
      <sz val="12"/>
      <color theme="0"/>
      <name val="Calibri"/>
      <family val="2"/>
      <scheme val="minor"/>
    </font>
    <font>
      <b/>
      <sz val="12"/>
      <color rgb="FFFFFFFF"/>
      <name val="Calibri"/>
      <family val="2"/>
      <scheme val="minor"/>
    </font>
    <font>
      <sz val="12"/>
      <color rgb="FF000000"/>
      <name val="Calibri"/>
      <family val="2"/>
      <scheme val="minor"/>
    </font>
    <font>
      <sz val="12"/>
      <name val="Calibri"/>
      <family val="2"/>
      <scheme val="minor"/>
    </font>
    <font>
      <sz val="12"/>
      <color rgb="FF0000FF"/>
      <name val="Calibri"/>
      <family val="2"/>
      <scheme val="minor"/>
    </font>
    <font>
      <sz val="12"/>
      <color rgb="FF00B050"/>
      <name val="Calibri"/>
      <family val="2"/>
      <scheme val="minor"/>
    </font>
    <font>
      <b/>
      <sz val="12"/>
      <color rgb="FF000000"/>
      <name val="Calibri"/>
      <family val="2"/>
      <scheme val="minor"/>
    </font>
    <font>
      <sz val="12"/>
      <color indexed="8"/>
      <name val="Calibri"/>
      <family val="2"/>
      <scheme val="minor"/>
    </font>
    <font>
      <b/>
      <sz val="12"/>
      <color rgb="FF0000FF"/>
      <name val="Calibri"/>
      <family val="2"/>
      <scheme val="minor"/>
    </font>
    <font>
      <sz val="10"/>
      <name val="Calibri"/>
      <family val="2"/>
      <scheme val="minor"/>
    </font>
    <font>
      <b/>
      <sz val="12"/>
      <name val="Calibri"/>
      <family val="2"/>
      <scheme val="minor"/>
    </font>
    <font>
      <b/>
      <sz val="12"/>
      <color theme="1"/>
      <name val="Calibri"/>
      <family val="2"/>
      <scheme val="minor"/>
    </font>
    <font>
      <sz val="11"/>
      <color rgb="FF0000FF"/>
      <name val="Calibri"/>
      <family val="2"/>
      <scheme val="minor"/>
    </font>
    <font>
      <sz val="12"/>
      <color rgb="FF0432FF"/>
      <name val="Calibri"/>
      <family val="2"/>
      <scheme val="minor"/>
    </font>
    <font>
      <i/>
      <sz val="12"/>
      <color rgb="FF0000FF"/>
      <name val="Calibri"/>
      <family val="2"/>
      <scheme val="minor"/>
    </font>
    <font>
      <b/>
      <i/>
      <sz val="12"/>
      <color theme="0"/>
      <name val="Calibri"/>
      <family val="2"/>
      <scheme val="minor"/>
    </font>
    <font>
      <sz val="12"/>
      <color rgb="FF00823B"/>
      <name val="Calibri"/>
      <family val="2"/>
      <scheme val="minor"/>
    </font>
    <font>
      <b/>
      <i/>
      <sz val="12"/>
      <name val="Calibri"/>
      <family val="2"/>
      <scheme val="minor"/>
    </font>
    <font>
      <b/>
      <sz val="12"/>
      <color rgb="FF00B050"/>
      <name val="Calibri"/>
      <family val="2"/>
      <scheme val="minor"/>
    </font>
    <font>
      <b/>
      <sz val="10"/>
      <color rgb="FFC00000"/>
      <name val="Calibri"/>
      <family val="2"/>
      <scheme val="minor"/>
    </font>
    <font>
      <b/>
      <u/>
      <sz val="12"/>
      <color rgb="FFFF0000"/>
      <name val="Calibri"/>
      <family val="2"/>
      <scheme val="minor"/>
    </font>
    <font>
      <b/>
      <u/>
      <sz val="12"/>
      <color theme="1"/>
      <name val="Calibri"/>
      <family val="2"/>
      <scheme val="minor"/>
    </font>
    <font>
      <b/>
      <sz val="10"/>
      <name val="Calibri"/>
      <family val="2"/>
      <scheme val="minor"/>
    </font>
    <font>
      <i/>
      <sz val="12"/>
      <color theme="1"/>
      <name val="Calibri"/>
      <family val="2"/>
      <scheme val="minor"/>
    </font>
    <font>
      <i/>
      <sz val="10"/>
      <name val="Calibri"/>
      <family val="2"/>
      <scheme val="minor"/>
    </font>
    <font>
      <b/>
      <u/>
      <sz val="12"/>
      <name val="Calibri"/>
      <family val="2"/>
      <scheme val="minor"/>
    </font>
    <font>
      <b/>
      <i/>
      <sz val="12"/>
      <color theme="1"/>
      <name val="Calibri"/>
      <family val="2"/>
      <scheme val="minor"/>
    </font>
    <font>
      <sz val="12"/>
      <color theme="0" tint="-0.34998626667073579"/>
      <name val="Calibri"/>
      <family val="2"/>
      <scheme val="minor"/>
    </font>
    <font>
      <i/>
      <sz val="12"/>
      <color theme="0" tint="-0.499984740745262"/>
      <name val="Calibri"/>
      <family val="2"/>
      <scheme val="minor"/>
    </font>
    <font>
      <b/>
      <i/>
      <sz val="12"/>
      <color rgb="FF0000FF"/>
      <name val="Calibri"/>
      <family val="2"/>
      <scheme val="minor"/>
    </font>
    <font>
      <i/>
      <sz val="12"/>
      <color indexed="8"/>
      <name val="Calibri"/>
      <family val="2"/>
      <scheme val="minor"/>
    </font>
    <font>
      <i/>
      <sz val="12"/>
      <color rgb="FF000000"/>
      <name val="Calibri"/>
      <family val="2"/>
      <scheme val="minor"/>
    </font>
    <font>
      <b/>
      <u val="singleAccounting"/>
      <sz val="12"/>
      <color theme="1"/>
      <name val="Calibri"/>
      <family val="2"/>
      <scheme val="minor"/>
    </font>
    <font>
      <b/>
      <u/>
      <sz val="12"/>
      <color theme="0"/>
      <name val="Calibri"/>
      <family val="2"/>
      <scheme val="minor"/>
    </font>
    <font>
      <sz val="14"/>
      <name val="Calibri"/>
      <family val="2"/>
      <scheme val="minor"/>
    </font>
    <font>
      <sz val="12"/>
      <color rgb="FF0000FF"/>
      <name val="Calibri"/>
      <family val="2"/>
    </font>
    <font>
      <sz val="12"/>
      <color theme="1"/>
      <name val="Calibri"/>
      <family val="2"/>
    </font>
    <font>
      <i/>
      <sz val="10"/>
      <color rgb="FF595959"/>
      <name val="Arial"/>
      <family val="2"/>
    </font>
    <font>
      <u/>
      <sz val="12"/>
      <color theme="0"/>
      <name val="Calibri"/>
      <family val="2"/>
      <scheme val="minor"/>
    </font>
    <font>
      <i/>
      <sz val="12"/>
      <name val="Calibri"/>
      <family val="2"/>
      <scheme val="minor"/>
    </font>
    <font>
      <sz val="12"/>
      <color rgb="FF05B04F"/>
      <name val="Calibri"/>
      <family val="2"/>
      <scheme val="minor"/>
    </font>
    <font>
      <sz val="12"/>
      <color theme="0"/>
      <name val="Calibri (Body)"/>
    </font>
    <font>
      <b/>
      <sz val="12"/>
      <color theme="0"/>
      <name val="Calibri (Body)"/>
    </font>
    <font>
      <sz val="12"/>
      <name val="Calibri (Body)"/>
    </font>
    <font>
      <u/>
      <sz val="12"/>
      <color theme="0"/>
      <name val="Calibri (Body)"/>
    </font>
    <font>
      <b/>
      <sz val="12"/>
      <color theme="1"/>
      <name val="Calibri (Body)"/>
    </font>
    <font>
      <sz val="12"/>
      <color theme="0" tint="-0.34998626667073579"/>
      <name val="Calibri (Body)"/>
    </font>
    <font>
      <sz val="12"/>
      <color rgb="FF00B050"/>
      <name val="Calibri (Body)"/>
    </font>
    <font>
      <sz val="12"/>
      <color rgb="FF0000FF"/>
      <name val="Calibri (Body)"/>
    </font>
    <font>
      <b/>
      <sz val="12"/>
      <name val="Calibri (Body)"/>
    </font>
    <font>
      <i/>
      <sz val="12"/>
      <name val="Calibri (Body)"/>
    </font>
    <font>
      <b/>
      <u/>
      <sz val="12"/>
      <color theme="1"/>
      <name val="Calibri (Body)"/>
    </font>
    <font>
      <b/>
      <u val="singleAccounting"/>
      <sz val="12"/>
      <color theme="1"/>
      <name val="Calibri (Body)"/>
    </font>
    <font>
      <i/>
      <sz val="12"/>
      <color theme="1"/>
      <name val="Calibri (Body)"/>
    </font>
    <font>
      <sz val="12"/>
      <color theme="1"/>
      <name val="Calibri (Body)"/>
    </font>
    <font>
      <b/>
      <sz val="12"/>
      <color rgb="FF00B050"/>
      <name val="Calibri (Body)"/>
    </font>
    <font>
      <b/>
      <i/>
      <sz val="12"/>
      <color indexed="8"/>
      <name val="Calibri (Body)"/>
    </font>
    <font>
      <sz val="12"/>
      <color rgb="FFA6A6A6"/>
      <name val="Calibri (Body)"/>
    </font>
    <font>
      <i/>
      <sz val="12"/>
      <color rgb="FF000000"/>
      <name val="Calibri (Body)"/>
    </font>
    <font>
      <b/>
      <u/>
      <sz val="12"/>
      <name val="Calibri (Body)"/>
    </font>
    <font>
      <b/>
      <sz val="12"/>
      <color rgb="FF0000FF"/>
      <name val="Calibri (Body)"/>
    </font>
    <font>
      <i/>
      <sz val="12"/>
      <color theme="0" tint="-0.499984740745262"/>
      <name val="Calibri (Body)"/>
    </font>
    <font>
      <i/>
      <sz val="12"/>
      <color rgb="FF0000FF"/>
      <name val="Calibri (Body)"/>
    </font>
    <font>
      <sz val="12"/>
      <color theme="1"/>
      <name val="Segoe UI Semilight"/>
      <family val="2"/>
    </font>
    <font>
      <sz val="11"/>
      <name val="Times New Roman"/>
      <family val="1"/>
    </font>
    <font>
      <sz val="10"/>
      <color theme="1"/>
      <name val="Arial"/>
      <family val="2"/>
    </font>
    <font>
      <sz val="10"/>
      <name val="Geneva"/>
      <family val="2"/>
      <charset val="1"/>
    </font>
    <font>
      <b/>
      <sz val="12"/>
      <color rgb="FF0000FF"/>
      <name val="Calibri"/>
      <family val="2"/>
    </font>
    <font>
      <sz val="12"/>
      <color rgb="FF0000FF"/>
      <name val="Segoe UI"/>
      <family val="2"/>
    </font>
    <font>
      <b/>
      <sz val="12"/>
      <color rgb="FF05B04F"/>
      <name val="Calibri"/>
      <family val="2"/>
      <scheme val="minor"/>
    </font>
    <font>
      <b/>
      <sz val="24"/>
      <color rgb="FFFFFFFF"/>
      <name val="Segoe UI"/>
      <charset val="1"/>
    </font>
    <font>
      <b/>
      <sz val="16"/>
      <color rgb="FFFFFFFF"/>
      <name val="Segoe UI"/>
      <charset val="1"/>
    </font>
    <font>
      <b/>
      <sz val="12"/>
      <color rgb="FFFFFFFF"/>
      <name val="Segoe UI"/>
      <charset val="1"/>
    </font>
    <font>
      <sz val="12"/>
      <color rgb="FFFFFFFF"/>
      <name val="Segoe UI"/>
      <charset val="1"/>
    </font>
    <font>
      <b/>
      <sz val="12"/>
      <color rgb="FF000000"/>
      <name val="Segoe UI"/>
      <charset val="1"/>
    </font>
    <font>
      <sz val="12"/>
      <color rgb="FF000000"/>
      <name val="Segoe UI"/>
      <charset val="1"/>
    </font>
    <font>
      <sz val="12"/>
      <name val="Segoe UI"/>
      <charset val="1"/>
    </font>
    <font>
      <sz val="11"/>
      <name val="Aptos Narrow"/>
    </font>
    <font>
      <b/>
      <u/>
      <sz val="12"/>
      <color rgb="FF000000"/>
      <name val="Segoe UI"/>
      <charset val="1"/>
    </font>
    <font>
      <i/>
      <sz val="12"/>
      <color rgb="FF000000"/>
      <name val="Segoe UI"/>
      <charset val="1"/>
    </font>
    <font>
      <sz val="12"/>
      <color rgb="FF0000FF"/>
      <name val="Segoe UI"/>
      <charset val="1"/>
    </font>
    <font>
      <sz val="12"/>
      <color rgb="FF00B050"/>
      <name val="Segoe UI"/>
      <charset val="1"/>
    </font>
    <font>
      <sz val="10"/>
      <name val="Arial"/>
      <family val="2"/>
    </font>
    <font>
      <sz val="11"/>
      <color theme="0"/>
      <name val="Calibri"/>
      <family val="2"/>
    </font>
    <font>
      <sz val="18"/>
      <color theme="0"/>
      <name val="Calibri"/>
      <family val="2"/>
    </font>
    <font>
      <sz val="12"/>
      <color rgb="FF000000"/>
      <name val="Calibri"/>
      <family val="2"/>
    </font>
    <font>
      <sz val="12"/>
      <name val="Calibri"/>
      <family val="2"/>
    </font>
    <font>
      <u/>
      <sz val="11"/>
      <color theme="0"/>
      <name val="Calibri"/>
      <family val="2"/>
    </font>
    <font>
      <sz val="12"/>
      <color theme="0"/>
      <name val="Calibri"/>
      <family val="2"/>
    </font>
    <font>
      <sz val="12"/>
      <color rgb="FFFFFFFF"/>
      <name val="Calibri"/>
      <family val="2"/>
    </font>
    <font>
      <sz val="12"/>
      <color rgb="FF00B050"/>
      <name val="Calibri"/>
      <family val="2"/>
    </font>
    <font>
      <b/>
      <sz val="12"/>
      <color rgb="FF000000"/>
      <name val="Calibri"/>
      <family val="2"/>
    </font>
    <font>
      <sz val="12"/>
      <color rgb="FFC00000"/>
      <name val="Calibri"/>
      <family val="2"/>
    </font>
    <font>
      <sz val="11"/>
      <color rgb="FF0000FF"/>
      <name val="Calibri"/>
      <family val="2"/>
    </font>
    <font>
      <sz val="12"/>
      <color rgb="FF05B04F"/>
      <name val="Calibri"/>
      <family val="2"/>
    </font>
    <font>
      <u/>
      <sz val="12"/>
      <color rgb="FF000000"/>
      <name val="Calibri"/>
      <family val="2"/>
    </font>
    <font>
      <u val="singleAccounting"/>
      <sz val="12"/>
      <name val="Calibri"/>
      <family val="2"/>
    </font>
    <font>
      <sz val="12"/>
      <color indexed="8"/>
      <name val="Calibri"/>
      <family val="2"/>
    </font>
    <font>
      <b/>
      <u/>
      <sz val="12"/>
      <color rgb="FF000000"/>
      <name val="Calibri"/>
      <family val="2"/>
    </font>
    <font>
      <b/>
      <sz val="12"/>
      <color indexed="8"/>
      <name val="Calibri"/>
      <family val="2"/>
    </font>
    <font>
      <b/>
      <sz val="12"/>
      <name val="Calibri"/>
      <family val="2"/>
    </font>
    <font>
      <sz val="10"/>
      <color theme="1"/>
      <name val="Calibri"/>
      <family val="2"/>
    </font>
    <font>
      <sz val="10"/>
      <name val="Calibri"/>
      <family val="2"/>
    </font>
    <font>
      <b/>
      <i/>
      <sz val="12"/>
      <color theme="1"/>
      <name val="Calibri (Body)"/>
    </font>
    <font>
      <b/>
      <sz val="12"/>
      <color theme="0" tint="-0.34998626667073579"/>
      <name val="Calibri (Body)"/>
    </font>
    <font>
      <b/>
      <i/>
      <sz val="12"/>
      <color rgb="FF05B04F"/>
      <name val="Calibri"/>
      <family val="2"/>
      <scheme val="minor"/>
    </font>
    <font>
      <b/>
      <sz val="14"/>
      <name val="Times"/>
      <family val="1"/>
    </font>
    <font>
      <b/>
      <i/>
      <sz val="12"/>
      <name val="Times"/>
      <family val="1"/>
    </font>
    <font>
      <i/>
      <sz val="12"/>
      <name val="Geneva"/>
      <family val="2"/>
      <charset val="1"/>
    </font>
    <font>
      <sz val="10"/>
      <name val="Times"/>
      <family val="1"/>
    </font>
    <font>
      <b/>
      <sz val="10"/>
      <name val="Times"/>
      <family val="1"/>
    </font>
    <font>
      <b/>
      <sz val="10"/>
      <name val="Geneva"/>
      <family val="2"/>
      <charset val="1"/>
    </font>
    <font>
      <i/>
      <sz val="10"/>
      <name val="Geneva"/>
      <family val="2"/>
      <charset val="1"/>
    </font>
    <font>
      <i/>
      <sz val="10"/>
      <name val="Times"/>
      <family val="1"/>
    </font>
    <font>
      <b/>
      <i/>
      <sz val="10"/>
      <name val="Times"/>
      <family val="1"/>
    </font>
    <font>
      <i/>
      <sz val="10"/>
      <name val="Times Roman"/>
      <family val="2"/>
    </font>
    <font>
      <sz val="10"/>
      <name val="Times Roman"/>
      <family val="2"/>
    </font>
    <font>
      <sz val="10"/>
      <color rgb="FF000000"/>
      <name val="Open Sans"/>
      <family val="2"/>
    </font>
    <font>
      <b/>
      <sz val="10"/>
      <color theme="0"/>
      <name val="Open Sans"/>
      <family val="2"/>
    </font>
    <font>
      <b/>
      <sz val="10"/>
      <color theme="1"/>
      <name val="Open Sans"/>
      <family val="2"/>
    </font>
    <font>
      <sz val="10"/>
      <name val="Open Sans"/>
      <family val="2"/>
    </font>
    <font>
      <sz val="10"/>
      <color theme="4"/>
      <name val="Open Sans"/>
      <family val="2"/>
    </font>
    <font>
      <sz val="10"/>
      <color rgb="FF3271D2"/>
      <name val="Open Sans"/>
      <family val="2"/>
    </font>
    <font>
      <sz val="10"/>
      <color theme="1"/>
      <name val="Open Sans"/>
      <family val="2"/>
    </font>
    <font>
      <sz val="10"/>
      <color rgb="FFC00000"/>
      <name val="Open Sans"/>
      <family val="2"/>
    </font>
    <font>
      <sz val="10"/>
      <color rgb="FF05B04F"/>
      <name val="Arial"/>
      <family val="2"/>
    </font>
    <font>
      <sz val="10"/>
      <color rgb="FF000000"/>
      <name val="Helvetica Neue"/>
      <family val="2"/>
    </font>
    <font>
      <b/>
      <sz val="10"/>
      <color rgb="FF000000"/>
      <name val="Helvetica Neue"/>
      <family val="2"/>
    </font>
  </fonts>
  <fills count="30">
    <fill>
      <patternFill patternType="none"/>
    </fill>
    <fill>
      <patternFill patternType="gray125"/>
    </fill>
    <fill>
      <patternFill patternType="solid">
        <fgColor indexed="63"/>
        <bgColor indexed="64"/>
      </patternFill>
    </fill>
    <fill>
      <patternFill patternType="solid">
        <fgColor indexed="62"/>
        <bgColor indexed="64"/>
      </patternFill>
    </fill>
    <fill>
      <patternFill patternType="solid">
        <fgColor indexed="56"/>
        <bgColor indexed="64"/>
      </patternFill>
    </fill>
    <fill>
      <patternFill patternType="solid">
        <fgColor indexed="60"/>
        <bgColor indexed="64"/>
      </patternFill>
    </fill>
    <fill>
      <patternFill patternType="solid">
        <fgColor theme="0"/>
        <bgColor indexed="64"/>
      </patternFill>
    </fill>
    <fill>
      <patternFill patternType="solid">
        <fgColor rgb="FFFFFFCC"/>
        <bgColor rgb="FF000000"/>
      </patternFill>
    </fill>
    <fill>
      <patternFill patternType="solid">
        <fgColor rgb="FFFFFFFF"/>
        <bgColor rgb="FF000000"/>
      </patternFill>
    </fill>
    <fill>
      <patternFill patternType="darkVertical">
        <fgColor rgb="FF5D87A1"/>
        <bgColor rgb="FF5D87A1"/>
      </patternFill>
    </fill>
    <fill>
      <patternFill patternType="solid">
        <fgColor theme="2"/>
        <bgColor indexed="64"/>
      </patternFill>
    </fill>
    <fill>
      <patternFill patternType="solid">
        <fgColor rgb="FFFFFFCC"/>
        <bgColor indexed="64"/>
      </patternFill>
    </fill>
    <fill>
      <patternFill patternType="gray125">
        <fgColor theme="1"/>
      </patternFill>
    </fill>
    <fill>
      <patternFill patternType="gray125">
        <fgColor theme="1"/>
        <bgColor theme="0"/>
      </patternFill>
    </fill>
    <fill>
      <patternFill patternType="solid">
        <fgColor theme="3" tint="0.89999084444715716"/>
        <bgColor indexed="64"/>
      </patternFill>
    </fill>
    <fill>
      <patternFill patternType="gray0625"/>
    </fill>
    <fill>
      <patternFill patternType="solid">
        <fgColor theme="0"/>
        <bgColor rgb="FF000000"/>
      </patternFill>
    </fill>
    <fill>
      <patternFill patternType="solid">
        <fgColor theme="6" tint="0.59999389629810485"/>
        <bgColor indexed="64"/>
      </patternFill>
    </fill>
    <fill>
      <patternFill patternType="solid">
        <fgColor theme="6" tint="0.59999389629810485"/>
        <bgColor rgb="FF000000"/>
      </patternFill>
    </fill>
    <fill>
      <patternFill patternType="solid">
        <fgColor rgb="FFFFCC66"/>
        <bgColor indexed="64"/>
      </patternFill>
    </fill>
    <fill>
      <patternFill patternType="solid">
        <fgColor rgb="FFFFC000"/>
        <bgColor rgb="FF000000"/>
      </patternFill>
    </fill>
    <fill>
      <patternFill patternType="solid">
        <fgColor theme="4"/>
        <bgColor indexed="64"/>
      </patternFill>
    </fill>
    <fill>
      <patternFill patternType="solid">
        <fgColor theme="4"/>
        <bgColor rgb="FF000000"/>
      </patternFill>
    </fill>
    <fill>
      <patternFill patternType="solid">
        <fgColor theme="4" tint="0.39997558519241921"/>
        <bgColor rgb="FF000000"/>
      </patternFill>
    </fill>
    <fill>
      <patternFill patternType="solid">
        <fgColor theme="4" tint="0.39997558519241921"/>
        <bgColor indexed="64"/>
      </patternFill>
    </fill>
    <fill>
      <patternFill patternType="solid">
        <fgColor rgb="FFDAE9F8"/>
        <bgColor rgb="FF000000"/>
      </patternFill>
    </fill>
    <fill>
      <patternFill patternType="solid">
        <fgColor indexed="13"/>
        <bgColor indexed="64"/>
      </patternFill>
    </fill>
    <fill>
      <patternFill patternType="solid">
        <fgColor rgb="FF0070C0"/>
        <bgColor indexed="64"/>
      </patternFill>
    </fill>
    <fill>
      <patternFill patternType="solid">
        <fgColor theme="7"/>
        <bgColor indexed="64"/>
      </patternFill>
    </fill>
    <fill>
      <patternFill patternType="solid">
        <fgColor theme="6" tint="0.79998168889431442"/>
        <bgColor rgb="FF000000"/>
      </patternFill>
    </fill>
  </fills>
  <borders count="39">
    <border>
      <left/>
      <right/>
      <top/>
      <bottom/>
      <diagonal/>
    </border>
    <border>
      <left/>
      <right/>
      <top style="thin">
        <color theme="0"/>
      </top>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thin">
        <color theme="0"/>
      </bottom>
      <diagonal/>
    </border>
    <border>
      <left style="thin">
        <color rgb="FF000000"/>
      </left>
      <right/>
      <top style="thin">
        <color rgb="FF000000"/>
      </top>
      <bottom style="thin">
        <color rgb="FF000000"/>
      </bottom>
      <diagonal/>
    </border>
    <border>
      <left/>
      <right style="medium">
        <color indexed="64"/>
      </right>
      <top style="medium">
        <color indexed="64"/>
      </top>
      <bottom style="medium">
        <color indexed="64"/>
      </bottom>
      <diagonal/>
    </border>
    <border>
      <left/>
      <right/>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top style="thin">
        <color indexed="8"/>
      </top>
      <bottom/>
      <diagonal/>
    </border>
    <border>
      <left/>
      <right style="thin">
        <color rgb="FF000000"/>
      </right>
      <top style="thin">
        <color indexed="64"/>
      </top>
      <bottom/>
      <diagonal/>
    </border>
    <border>
      <left/>
      <right style="thin">
        <color rgb="FF000000"/>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hair">
        <color rgb="FF000000"/>
      </left>
      <right/>
      <top style="hair">
        <color rgb="FF000000"/>
      </top>
      <bottom/>
      <diagonal/>
    </border>
    <border>
      <left/>
      <right/>
      <top style="hair">
        <color rgb="FF000000"/>
      </top>
      <bottom/>
      <diagonal/>
    </border>
    <border>
      <left/>
      <right style="hair">
        <color rgb="FF000000"/>
      </right>
      <top style="hair">
        <color rgb="FF000000"/>
      </top>
      <bottom/>
      <diagonal/>
    </border>
    <border>
      <left style="hair">
        <color rgb="FF000000"/>
      </left>
      <right/>
      <top/>
      <bottom/>
      <diagonal/>
    </border>
    <border>
      <left/>
      <right style="hair">
        <color rgb="FF000000"/>
      </right>
      <top/>
      <bottom/>
      <diagonal/>
    </border>
    <border>
      <left style="thin">
        <color rgb="FF000000"/>
      </left>
      <right style="thin">
        <color rgb="FF000000"/>
      </right>
      <top style="thin">
        <color rgb="FF000000"/>
      </top>
      <bottom style="thin">
        <color rgb="FF000000"/>
      </bottom>
      <diagonal/>
    </border>
    <border>
      <left style="hair">
        <color rgb="FF000000"/>
      </left>
      <right/>
      <top/>
      <bottom style="hair">
        <color rgb="FF000000"/>
      </bottom>
      <diagonal/>
    </border>
    <border>
      <left/>
      <right/>
      <top/>
      <bottom style="hair">
        <color rgb="FF000000"/>
      </bottom>
      <diagonal/>
    </border>
    <border>
      <left/>
      <right style="hair">
        <color rgb="FF000000"/>
      </right>
      <top/>
      <bottom style="hair">
        <color rgb="FF000000"/>
      </bottom>
      <diagonal/>
    </border>
  </borders>
  <cellStyleXfs count="48">
    <xf numFmtId="0" fontId="0" fillId="0" borderId="0"/>
    <xf numFmtId="0" fontId="5" fillId="0" borderId="0" applyAlignment="0"/>
    <xf numFmtId="0" fontId="6" fillId="0" borderId="0" applyAlignment="0"/>
    <xf numFmtId="0" fontId="7" fillId="2" borderId="0" applyAlignment="0"/>
    <xf numFmtId="0" fontId="8" fillId="3" borderId="0" applyAlignment="0"/>
    <xf numFmtId="0" fontId="9" fillId="4" borderId="0" applyAlignment="0"/>
    <xf numFmtId="0" fontId="10" fillId="5" borderId="0" applyAlignment="0"/>
    <xf numFmtId="0" fontId="11" fillId="0" borderId="0" applyAlignment="0"/>
    <xf numFmtId="0" fontId="12" fillId="0" borderId="0" applyAlignment="0"/>
    <xf numFmtId="0" fontId="13" fillId="0" borderId="0" applyAlignment="0"/>
    <xf numFmtId="0" fontId="14" fillId="0" borderId="0" applyAlignment="0"/>
    <xf numFmtId="0" fontId="15" fillId="0" borderId="0" applyAlignment="0"/>
    <xf numFmtId="0" fontId="14" fillId="0" borderId="0" applyAlignment="0">
      <alignment wrapText="1"/>
    </xf>
    <xf numFmtId="0" fontId="16" fillId="0" borderId="0" applyAlignment="0"/>
    <xf numFmtId="0" fontId="17" fillId="0" borderId="0" applyAlignment="0"/>
    <xf numFmtId="0" fontId="18" fillId="0" borderId="0" applyAlignment="0"/>
    <xf numFmtId="9" fontId="20" fillId="0" borderId="0" applyFont="0" applyFill="0" applyBorder="0" applyAlignment="0" applyProtection="0"/>
    <xf numFmtId="0" fontId="19" fillId="0" borderId="0"/>
    <xf numFmtId="0" fontId="17" fillId="0" borderId="0">
      <alignment vertical="center"/>
    </xf>
    <xf numFmtId="0" fontId="21" fillId="9" borderId="0" applyNumberFormat="0" applyBorder="0" applyProtection="0">
      <alignment vertical="center"/>
    </xf>
    <xf numFmtId="0" fontId="17" fillId="0" borderId="0" applyNumberFormat="0" applyFont="0" applyFill="0" applyBorder="0" applyAlignment="0" applyProtection="0">
      <alignment vertical="center"/>
    </xf>
    <xf numFmtId="9" fontId="17" fillId="0" borderId="0" applyFont="0" applyFill="0" applyBorder="0" applyAlignment="0" applyProtection="0">
      <alignment vertical="center"/>
    </xf>
    <xf numFmtId="0" fontId="4" fillId="0" borderId="0"/>
    <xf numFmtId="0" fontId="22" fillId="0" borderId="0"/>
    <xf numFmtId="0" fontId="23" fillId="0" borderId="0"/>
    <xf numFmtId="165" fontId="24" fillId="0" borderId="0" applyFont="0" applyFill="0" applyBorder="0" applyAlignment="0" applyProtection="0"/>
    <xf numFmtId="165" fontId="22" fillId="0" borderId="0" applyFont="0" applyFill="0" applyBorder="0" applyAlignment="0" applyProtection="0"/>
    <xf numFmtId="0" fontId="25" fillId="12" borderId="0"/>
    <xf numFmtId="9" fontId="24" fillId="0" borderId="0" applyFont="0" applyFill="0" applyBorder="0" applyAlignment="0" applyProtection="0"/>
    <xf numFmtId="165" fontId="23" fillId="0" borderId="0" applyFont="0" applyFill="0" applyBorder="0" applyAlignment="0" applyProtection="0"/>
    <xf numFmtId="0" fontId="24" fillId="0" borderId="0"/>
    <xf numFmtId="0" fontId="22" fillId="0" borderId="0"/>
    <xf numFmtId="165" fontId="24" fillId="0" borderId="0" applyFont="0" applyFill="0" applyBorder="0" applyAlignment="0" applyProtection="0"/>
    <xf numFmtId="9" fontId="24" fillId="0" borderId="0" applyFont="0" applyFill="0" applyBorder="0" applyAlignment="0" applyProtection="0"/>
    <xf numFmtId="0" fontId="29" fillId="0" borderId="0"/>
    <xf numFmtId="0" fontId="17" fillId="0" borderId="0" applyNumberFormat="0" applyFont="0" applyFill="0" applyBorder="0" applyProtection="0">
      <alignment horizontal="center" vertical="center"/>
    </xf>
    <xf numFmtId="187" fontId="69" fillId="0" borderId="0" applyFill="0" applyBorder="0" applyProtection="0">
      <alignment horizontal="right" vertical="center"/>
    </xf>
    <xf numFmtId="0" fontId="19" fillId="0" borderId="0">
      <alignment vertical="center"/>
    </xf>
    <xf numFmtId="0" fontId="3" fillId="0" borderId="0"/>
    <xf numFmtId="0" fontId="96" fillId="0" borderId="0"/>
    <xf numFmtId="164" fontId="96" fillId="0" borderId="0" applyFont="0" applyFill="0" applyBorder="0" applyAlignment="0" applyProtection="0"/>
    <xf numFmtId="9" fontId="96" fillId="0" borderId="0" applyFont="0" applyFill="0" applyBorder="0" applyAlignment="0" applyProtection="0"/>
    <xf numFmtId="0" fontId="97" fillId="19" borderId="8"/>
    <xf numFmtId="0" fontId="98" fillId="0" borderId="0"/>
    <xf numFmtId="9" fontId="98" fillId="0" borderId="0" applyFont="0" applyFill="0" applyBorder="0" applyAlignment="0" applyProtection="0"/>
    <xf numFmtId="0" fontId="2" fillId="0" borderId="0"/>
    <xf numFmtId="41" fontId="114" fillId="0" borderId="0" applyFont="0" applyFill="0" applyBorder="0" applyAlignment="0" applyProtection="0"/>
    <xf numFmtId="0" fontId="19" fillId="0" borderId="0"/>
  </cellStyleXfs>
  <cellXfs count="792">
    <xf numFmtId="0" fontId="0" fillId="0" borderId="0" xfId="0"/>
    <xf numFmtId="0" fontId="35" fillId="0" borderId="0" xfId="0" applyFont="1"/>
    <xf numFmtId="172" fontId="35" fillId="11" borderId="8" xfId="24" applyNumberFormat="1" applyFont="1" applyFill="1" applyBorder="1" applyAlignment="1">
      <alignment horizontal="right"/>
    </xf>
    <xf numFmtId="0" fontId="34" fillId="0" borderId="0" xfId="0" applyFont="1"/>
    <xf numFmtId="0" fontId="41" fillId="0" borderId="0" xfId="0" applyFont="1"/>
    <xf numFmtId="0" fontId="42" fillId="0" borderId="0" xfId="0" applyFont="1"/>
    <xf numFmtId="0" fontId="39" fillId="0" borderId="0" xfId="17" applyFont="1" applyAlignment="1">
      <alignment horizontal="left" vertical="top" indent="1"/>
    </xf>
    <xf numFmtId="0" fontId="35" fillId="0" borderId="3" xfId="0" applyFont="1" applyBorder="1"/>
    <xf numFmtId="0" fontId="41" fillId="6" borderId="0" xfId="0" applyFont="1" applyFill="1"/>
    <xf numFmtId="171" fontId="36" fillId="7" borderId="10" xfId="0" applyNumberFormat="1" applyFont="1" applyFill="1" applyBorder="1"/>
    <xf numFmtId="14" fontId="46" fillId="0" borderId="0" xfId="0" applyNumberFormat="1" applyFont="1"/>
    <xf numFmtId="185" fontId="48" fillId="0" borderId="0" xfId="0" applyNumberFormat="1" applyFont="1"/>
    <xf numFmtId="172" fontId="37" fillId="0" borderId="0" xfId="0" applyNumberFormat="1" applyFont="1"/>
    <xf numFmtId="0" fontId="35" fillId="0" borderId="0" xfId="0" applyFont="1" applyAlignment="1">
      <alignment horizontal="left" vertical="top" indent="1"/>
    </xf>
    <xf numFmtId="0" fontId="43" fillId="0" borderId="12" xfId="0" applyFont="1" applyBorder="1" applyAlignment="1">
      <alignment horizontal="left"/>
    </xf>
    <xf numFmtId="172" fontId="42" fillId="0" borderId="2" xfId="25" applyNumberFormat="1" applyFont="1" applyFill="1" applyBorder="1"/>
    <xf numFmtId="172" fontId="42" fillId="0" borderId="2" xfId="25" applyNumberFormat="1" applyFont="1" applyBorder="1"/>
    <xf numFmtId="0" fontId="43" fillId="0" borderId="0" xfId="0" applyFont="1" applyAlignment="1">
      <alignment horizontal="left"/>
    </xf>
    <xf numFmtId="172" fontId="42" fillId="0" borderId="0" xfId="25" applyNumberFormat="1" applyFont="1" applyFill="1" applyBorder="1"/>
    <xf numFmtId="0" fontId="43" fillId="15" borderId="0" xfId="0" applyFont="1" applyFill="1"/>
    <xf numFmtId="0" fontId="43" fillId="0" borderId="0" xfId="0" applyFont="1"/>
    <xf numFmtId="0" fontId="42" fillId="0" borderId="14" xfId="0" applyFont="1" applyBorder="1" applyAlignment="1">
      <alignment horizontal="left" vertical="center"/>
    </xf>
    <xf numFmtId="0" fontId="42" fillId="0" borderId="15" xfId="0" applyFont="1" applyBorder="1" applyAlignment="1">
      <alignment horizontal="left" vertical="center"/>
    </xf>
    <xf numFmtId="0" fontId="42" fillId="0" borderId="18" xfId="24" applyFont="1" applyBorder="1" applyAlignment="1">
      <alignment horizontal="center"/>
    </xf>
    <xf numFmtId="0" fontId="40" fillId="0" borderId="0" xfId="0" applyFont="1" applyAlignment="1">
      <alignment horizontal="left" vertical="center"/>
    </xf>
    <xf numFmtId="0" fontId="42" fillId="0" borderId="0" xfId="0" applyFont="1" applyAlignment="1">
      <alignment horizontal="left" vertical="center"/>
    </xf>
    <xf numFmtId="0" fontId="51" fillId="0" borderId="0" xfId="0" applyFont="1"/>
    <xf numFmtId="0" fontId="40" fillId="0" borderId="0" xfId="0" applyFont="1" applyAlignment="1">
      <alignment horizontal="right"/>
    </xf>
    <xf numFmtId="171" fontId="40" fillId="11" borderId="21" xfId="24" applyNumberFormat="1" applyFont="1" applyFill="1" applyBorder="1" applyAlignment="1">
      <alignment horizontal="center"/>
    </xf>
    <xf numFmtId="172" fontId="35" fillId="0" borderId="0" xfId="0" applyNumberFormat="1" applyFont="1"/>
    <xf numFmtId="172" fontId="42" fillId="0" borderId="13" xfId="25" applyNumberFormat="1" applyFont="1" applyBorder="1"/>
    <xf numFmtId="0" fontId="52" fillId="0" borderId="0" xfId="0" applyFont="1"/>
    <xf numFmtId="0" fontId="31" fillId="0" borderId="0" xfId="0" applyFont="1"/>
    <xf numFmtId="0" fontId="53" fillId="0" borderId="0" xfId="0" applyFont="1"/>
    <xf numFmtId="0" fontId="43" fillId="0" borderId="2" xfId="0" applyFont="1" applyBorder="1"/>
    <xf numFmtId="172" fontId="43" fillId="0" borderId="2" xfId="0" applyNumberFormat="1" applyFont="1" applyBorder="1"/>
    <xf numFmtId="0" fontId="54" fillId="0" borderId="0" xfId="0" applyFont="1"/>
    <xf numFmtId="0" fontId="55" fillId="0" borderId="0" xfId="0" applyFont="1"/>
    <xf numFmtId="0" fontId="56" fillId="0" borderId="0" xfId="0" applyFont="1"/>
    <xf numFmtId="0" fontId="57" fillId="0" borderId="0" xfId="0" applyFont="1" applyAlignment="1">
      <alignment horizontal="center"/>
    </xf>
    <xf numFmtId="180" fontId="36" fillId="11" borderId="8" xfId="0" applyNumberFormat="1" applyFont="1" applyFill="1" applyBorder="1" applyAlignment="1">
      <alignment horizontal="center" vertical="center"/>
    </xf>
    <xf numFmtId="172" fontId="35" fillId="0" borderId="0" xfId="25" applyNumberFormat="1" applyFont="1"/>
    <xf numFmtId="0" fontId="42" fillId="0" borderId="12" xfId="0" applyFont="1" applyBorder="1" applyAlignment="1">
      <alignment horizontal="left" vertical="center"/>
    </xf>
    <xf numFmtId="0" fontId="42" fillId="0" borderId="2" xfId="0" applyFont="1" applyBorder="1"/>
    <xf numFmtId="168" fontId="40" fillId="0" borderId="2" xfId="0" applyNumberFormat="1" applyFont="1" applyBorder="1" applyAlignment="1">
      <alignment horizontal="center" vertical="top" wrapText="1"/>
    </xf>
    <xf numFmtId="10" fontId="40" fillId="0" borderId="2" xfId="0" applyNumberFormat="1" applyFont="1" applyBorder="1" applyAlignment="1">
      <alignment horizontal="center" vertical="top" wrapText="1"/>
    </xf>
    <xf numFmtId="180" fontId="40" fillId="0" borderId="2" xfId="0" applyNumberFormat="1" applyFont="1" applyBorder="1" applyAlignment="1">
      <alignment horizontal="center" vertical="center"/>
    </xf>
    <xf numFmtId="168" fontId="35" fillId="0" borderId="0" xfId="0" applyNumberFormat="1" applyFont="1"/>
    <xf numFmtId="180" fontId="35" fillId="0" borderId="0" xfId="0" applyNumberFormat="1" applyFont="1" applyAlignment="1">
      <alignment horizontal="left" vertical="center" indent="1"/>
    </xf>
    <xf numFmtId="0" fontId="37" fillId="0" borderId="0" xfId="0" quotePrefix="1" applyFont="1"/>
    <xf numFmtId="0" fontId="34" fillId="0" borderId="0" xfId="0" applyFont="1" applyAlignment="1">
      <alignment horizontal="left" indent="1"/>
    </xf>
    <xf numFmtId="172" fontId="37" fillId="0" borderId="0" xfId="25" applyNumberFormat="1" applyFont="1" applyBorder="1"/>
    <xf numFmtId="172" fontId="37" fillId="11" borderId="8" xfId="25" applyNumberFormat="1" applyFont="1" applyFill="1" applyBorder="1"/>
    <xf numFmtId="172" fontId="35" fillId="11" borderId="8" xfId="25" applyNumberFormat="1" applyFont="1" applyFill="1" applyBorder="1"/>
    <xf numFmtId="0" fontId="38" fillId="0" borderId="2" xfId="0" applyFont="1" applyBorder="1"/>
    <xf numFmtId="172" fontId="50" fillId="0" borderId="2" xfId="25" applyNumberFormat="1" applyFont="1" applyBorder="1"/>
    <xf numFmtId="0" fontId="34" fillId="8" borderId="0" xfId="0" applyFont="1" applyFill="1" applyAlignment="1">
      <alignment horizontal="left" indent="1"/>
    </xf>
    <xf numFmtId="0" fontId="35" fillId="6" borderId="0" xfId="0" applyFont="1" applyFill="1"/>
    <xf numFmtId="169" fontId="35" fillId="6" borderId="0" xfId="0" applyNumberFormat="1" applyFont="1" applyFill="1"/>
    <xf numFmtId="0" fontId="32" fillId="6" borderId="0" xfId="0" applyFont="1" applyFill="1" applyAlignment="1">
      <alignment horizontal="center"/>
    </xf>
    <xf numFmtId="0" fontId="43" fillId="6" borderId="2" xfId="0" applyFont="1" applyFill="1" applyBorder="1"/>
    <xf numFmtId="0" fontId="35" fillId="6" borderId="2" xfId="0" applyFont="1" applyFill="1" applyBorder="1"/>
    <xf numFmtId="0" fontId="59" fillId="6" borderId="11" xfId="0" applyFont="1" applyFill="1" applyBorder="1" applyAlignment="1">
      <alignment horizontal="right"/>
    </xf>
    <xf numFmtId="0" fontId="59" fillId="6" borderId="0" xfId="0" applyFont="1" applyFill="1" applyAlignment="1">
      <alignment horizontal="right"/>
    </xf>
    <xf numFmtId="43" fontId="36" fillId="6" borderId="0" xfId="0" applyNumberFormat="1" applyFont="1" applyFill="1"/>
    <xf numFmtId="171" fontId="35" fillId="6" borderId="0" xfId="0" applyNumberFormat="1" applyFont="1" applyFill="1"/>
    <xf numFmtId="0" fontId="43" fillId="6" borderId="11" xfId="0" applyFont="1" applyFill="1" applyBorder="1"/>
    <xf numFmtId="0" fontId="35" fillId="6" borderId="11" xfId="0" applyFont="1" applyFill="1" applyBorder="1"/>
    <xf numFmtId="0" fontId="35" fillId="6" borderId="19" xfId="0" applyFont="1" applyFill="1" applyBorder="1"/>
    <xf numFmtId="0" fontId="42" fillId="6" borderId="0" xfId="0" applyFont="1" applyFill="1"/>
    <xf numFmtId="0" fontId="43" fillId="6" borderId="19" xfId="0" applyFont="1" applyFill="1" applyBorder="1"/>
    <xf numFmtId="182" fontId="55" fillId="6" borderId="0" xfId="0" applyNumberFormat="1" applyFont="1" applyFill="1"/>
    <xf numFmtId="182" fontId="55" fillId="16" borderId="0" xfId="0" applyNumberFormat="1" applyFont="1" applyFill="1"/>
    <xf numFmtId="0" fontId="43" fillId="0" borderId="0" xfId="23" applyFont="1"/>
    <xf numFmtId="0" fontId="46" fillId="0" borderId="0" xfId="23" applyFont="1" applyAlignment="1">
      <alignment horizontal="center"/>
    </xf>
    <xf numFmtId="0" fontId="43" fillId="0" borderId="0" xfId="23" applyFont="1" applyAlignment="1">
      <alignment horizontal="center"/>
    </xf>
    <xf numFmtId="0" fontId="43" fillId="0" borderId="0" xfId="24" applyFont="1"/>
    <xf numFmtId="0" fontId="42" fillId="14" borderId="0" xfId="22" applyFont="1" applyFill="1" applyAlignment="1">
      <alignment horizontal="left"/>
    </xf>
    <xf numFmtId="0" fontId="42" fillId="14" borderId="0" xfId="22" applyFont="1" applyFill="1" applyAlignment="1">
      <alignment horizontal="center"/>
    </xf>
    <xf numFmtId="0" fontId="61" fillId="14" borderId="0" xfId="22" applyFont="1" applyFill="1" applyAlignment="1">
      <alignment horizontal="center"/>
    </xf>
    <xf numFmtId="0" fontId="46" fillId="0" borderId="0" xfId="24" applyFont="1" applyAlignment="1">
      <alignment horizontal="center"/>
    </xf>
    <xf numFmtId="0" fontId="43" fillId="0" borderId="0" xfId="24" applyFont="1" applyAlignment="1">
      <alignment horizontal="left"/>
    </xf>
    <xf numFmtId="171" fontId="42" fillId="11" borderId="8" xfId="24" applyNumberFormat="1" applyFont="1" applyFill="1" applyBorder="1" applyAlignment="1">
      <alignment horizontal="right"/>
    </xf>
    <xf numFmtId="0" fontId="36" fillId="0" borderId="0" xfId="24" applyFont="1" applyAlignment="1">
      <alignment horizontal="center"/>
    </xf>
    <xf numFmtId="3" fontId="55" fillId="12" borderId="0" xfId="27" applyNumberFormat="1" applyFont="1"/>
    <xf numFmtId="183" fontId="40" fillId="11" borderId="8" xfId="24" applyNumberFormat="1" applyFont="1" applyFill="1" applyBorder="1" applyAlignment="1">
      <alignment horizontal="right"/>
    </xf>
    <xf numFmtId="172" fontId="42" fillId="11" borderId="8" xfId="24" applyNumberFormat="1" applyFont="1" applyFill="1" applyBorder="1" applyAlignment="1">
      <alignment horizontal="right"/>
    </xf>
    <xf numFmtId="165" fontId="46" fillId="0" borderId="0" xfId="23" applyNumberFormat="1" applyFont="1" applyAlignment="1">
      <alignment horizontal="center"/>
    </xf>
    <xf numFmtId="172" fontId="37" fillId="0" borderId="0" xfId="24" applyNumberFormat="1" applyFont="1"/>
    <xf numFmtId="0" fontId="62" fillId="0" borderId="0" xfId="17" applyFont="1" applyAlignment="1">
      <alignment horizontal="left" vertical="top"/>
    </xf>
    <xf numFmtId="0" fontId="58" fillId="0" borderId="0" xfId="0" applyFont="1"/>
    <xf numFmtId="171" fontId="63" fillId="0" borderId="0" xfId="24" applyNumberFormat="1" applyFont="1" applyAlignment="1">
      <alignment horizontal="right"/>
    </xf>
    <xf numFmtId="172" fontId="42" fillId="0" borderId="0" xfId="29" applyNumberFormat="1" applyFont="1" applyBorder="1" applyAlignment="1"/>
    <xf numFmtId="171" fontId="55" fillId="0" borderId="0" xfId="24" applyNumberFormat="1" applyFont="1"/>
    <xf numFmtId="171" fontId="55" fillId="11" borderId="8" xfId="24" applyNumberFormat="1" applyFont="1" applyFill="1" applyBorder="1"/>
    <xf numFmtId="171" fontId="55" fillId="11" borderId="21" xfId="24" applyNumberFormat="1" applyFont="1" applyFill="1" applyBorder="1"/>
    <xf numFmtId="171" fontId="43" fillId="0" borderId="0" xfId="23" applyNumberFormat="1" applyFont="1"/>
    <xf numFmtId="0" fontId="43" fillId="0" borderId="4" xfId="23" applyFont="1" applyBorder="1"/>
    <xf numFmtId="172" fontId="42" fillId="0" borderId="5" xfId="29" applyNumberFormat="1" applyFont="1" applyBorder="1" applyAlignment="1"/>
    <xf numFmtId="0" fontId="43" fillId="0" borderId="6" xfId="23" applyFont="1" applyBorder="1"/>
    <xf numFmtId="0" fontId="46" fillId="0" borderId="3" xfId="23" applyFont="1" applyBorder="1" applyAlignment="1">
      <alignment horizontal="center"/>
    </xf>
    <xf numFmtId="172" fontId="42" fillId="0" borderId="3" xfId="29" applyNumberFormat="1" applyFont="1" applyBorder="1" applyAlignment="1"/>
    <xf numFmtId="172" fontId="42" fillId="0" borderId="7" xfId="29" applyNumberFormat="1" applyFont="1" applyBorder="1" applyAlignment="1"/>
    <xf numFmtId="172" fontId="35" fillId="0" borderId="0" xfId="24" applyNumberFormat="1" applyFont="1"/>
    <xf numFmtId="172" fontId="42" fillId="14" borderId="0" xfId="22" applyNumberFormat="1" applyFont="1" applyFill="1" applyAlignment="1">
      <alignment horizontal="left"/>
    </xf>
    <xf numFmtId="37" fontId="46" fillId="0" borderId="0" xfId="23" applyNumberFormat="1" applyFont="1" applyAlignment="1">
      <alignment horizontal="center"/>
    </xf>
    <xf numFmtId="172" fontId="36" fillId="0" borderId="0" xfId="24" applyNumberFormat="1" applyFont="1"/>
    <xf numFmtId="0" fontId="53" fillId="0" borderId="0" xfId="23" applyFont="1" applyAlignment="1">
      <alignment horizontal="left"/>
    </xf>
    <xf numFmtId="0" fontId="53" fillId="0" borderId="0" xfId="23" applyFont="1" applyAlignment="1">
      <alignment horizontal="right"/>
    </xf>
    <xf numFmtId="0" fontId="57" fillId="0" borderId="0" xfId="23" applyFont="1" applyAlignment="1">
      <alignment horizontal="right"/>
    </xf>
    <xf numFmtId="3" fontId="35" fillId="0" borderId="0" xfId="23" applyNumberFormat="1" applyFont="1"/>
    <xf numFmtId="172" fontId="35" fillId="0" borderId="0" xfId="26" applyNumberFormat="1" applyFont="1"/>
    <xf numFmtId="180" fontId="35" fillId="0" borderId="0" xfId="23" applyNumberFormat="1" applyFont="1" applyAlignment="1">
      <alignment horizontal="left" vertical="center" indent="1"/>
    </xf>
    <xf numFmtId="180" fontId="35" fillId="0" borderId="0" xfId="23" applyNumberFormat="1" applyFont="1" applyAlignment="1">
      <alignment horizontal="right"/>
    </xf>
    <xf numFmtId="0" fontId="42" fillId="0" borderId="0" xfId="30" applyFont="1" applyAlignment="1">
      <alignment horizontal="left"/>
    </xf>
    <xf numFmtId="184" fontId="42" fillId="0" borderId="0" xfId="26" applyNumberFormat="1" applyFont="1" applyFill="1" applyBorder="1" applyAlignment="1">
      <alignment horizontal="center"/>
    </xf>
    <xf numFmtId="184" fontId="61" fillId="0" borderId="0" xfId="26" applyNumberFormat="1" applyFont="1" applyFill="1" applyBorder="1" applyAlignment="1">
      <alignment horizontal="center"/>
    </xf>
    <xf numFmtId="184" fontId="60" fillId="0" borderId="0" xfId="26" applyNumberFormat="1" applyFont="1" applyFill="1" applyBorder="1" applyAlignment="1">
      <alignment horizontal="right"/>
    </xf>
    <xf numFmtId="0" fontId="61" fillId="0" borderId="0" xfId="23" applyFont="1" applyAlignment="1">
      <alignment horizontal="center"/>
    </xf>
    <xf numFmtId="172" fontId="40" fillId="0" borderId="0" xfId="24" applyNumberFormat="1" applyFont="1"/>
    <xf numFmtId="172" fontId="43" fillId="0" borderId="3" xfId="24" applyNumberFormat="1" applyFont="1" applyBorder="1"/>
    <xf numFmtId="0" fontId="53" fillId="0" borderId="0" xfId="23" applyFont="1"/>
    <xf numFmtId="175" fontId="42" fillId="11" borderId="8" xfId="24" applyNumberFormat="1" applyFont="1" applyFill="1" applyBorder="1" applyAlignment="1">
      <alignment horizontal="center"/>
    </xf>
    <xf numFmtId="172" fontId="35" fillId="11" borderId="21" xfId="24" applyNumberFormat="1" applyFont="1" applyFill="1" applyBorder="1" applyAlignment="1">
      <alignment horizontal="right"/>
    </xf>
    <xf numFmtId="172" fontId="35" fillId="0" borderId="0" xfId="26" applyNumberFormat="1" applyFont="1" applyAlignment="1">
      <alignment horizontal="right"/>
    </xf>
    <xf numFmtId="0" fontId="35" fillId="6" borderId="12" xfId="0" applyFont="1" applyFill="1" applyBorder="1"/>
    <xf numFmtId="0" fontId="59" fillId="6" borderId="2" xfId="0" applyFont="1" applyFill="1" applyBorder="1" applyAlignment="1">
      <alignment horizontal="right"/>
    </xf>
    <xf numFmtId="0" fontId="35" fillId="6" borderId="3" xfId="0" applyFont="1" applyFill="1" applyBorder="1"/>
    <xf numFmtId="0" fontId="34" fillId="0" borderId="3" xfId="0" applyFont="1" applyBorder="1" applyAlignment="1">
      <alignment horizontal="left" vertical="top"/>
    </xf>
    <xf numFmtId="0" fontId="53" fillId="6" borderId="0" xfId="22" applyFont="1" applyFill="1" applyAlignment="1">
      <alignment horizontal="left"/>
    </xf>
    <xf numFmtId="0" fontId="64" fillId="6" borderId="0" xfId="23" applyFont="1" applyFill="1" applyAlignment="1">
      <alignment horizontal="centerContinuous"/>
    </xf>
    <xf numFmtId="171" fontId="55" fillId="6" borderId="0" xfId="24" applyNumberFormat="1" applyFont="1" applyFill="1"/>
    <xf numFmtId="172" fontId="43" fillId="6" borderId="0" xfId="24" applyNumberFormat="1" applyFont="1" applyFill="1"/>
    <xf numFmtId="175" fontId="36" fillId="11" borderId="8" xfId="24" applyNumberFormat="1" applyFont="1" applyFill="1" applyBorder="1" applyAlignment="1">
      <alignment horizontal="center"/>
    </xf>
    <xf numFmtId="175" fontId="35" fillId="11" borderId="8" xfId="24" applyNumberFormat="1" applyFont="1" applyFill="1" applyBorder="1" applyAlignment="1">
      <alignment horizontal="center"/>
    </xf>
    <xf numFmtId="172" fontId="36" fillId="6" borderId="0" xfId="25" applyNumberFormat="1" applyFont="1" applyFill="1"/>
    <xf numFmtId="0" fontId="43" fillId="6" borderId="17" xfId="22" applyFont="1" applyFill="1" applyBorder="1" applyAlignment="1">
      <alignment horizontal="left"/>
    </xf>
    <xf numFmtId="0" fontId="55" fillId="6" borderId="11" xfId="24" applyFont="1" applyFill="1" applyBorder="1"/>
    <xf numFmtId="172" fontId="50" fillId="6" borderId="11" xfId="26" applyNumberFormat="1" applyFont="1" applyFill="1" applyBorder="1"/>
    <xf numFmtId="0" fontId="55" fillId="6" borderId="0" xfId="24" applyFont="1" applyFill="1"/>
    <xf numFmtId="0" fontId="35" fillId="10" borderId="2" xfId="0" applyFont="1" applyFill="1" applyBorder="1"/>
    <xf numFmtId="0" fontId="43" fillId="6" borderId="3" xfId="0" applyFont="1" applyFill="1" applyBorder="1"/>
    <xf numFmtId="0" fontId="35" fillId="10" borderId="11" xfId="0" applyFont="1" applyFill="1" applyBorder="1"/>
    <xf numFmtId="171" fontId="45" fillId="7" borderId="10" xfId="0" applyNumberFormat="1" applyFont="1" applyFill="1" applyBorder="1"/>
    <xf numFmtId="171" fontId="37" fillId="7" borderId="10" xfId="0" applyNumberFormat="1" applyFont="1" applyFill="1" applyBorder="1"/>
    <xf numFmtId="0" fontId="66" fillId="0" borderId="0" xfId="0" applyFont="1"/>
    <xf numFmtId="0" fontId="41" fillId="0" borderId="0" xfId="0" applyFont="1" applyAlignment="1">
      <alignment horizontal="left" indent="1"/>
    </xf>
    <xf numFmtId="0" fontId="35" fillId="6" borderId="0" xfId="0" applyFont="1" applyFill="1" applyAlignment="1">
      <alignment horizontal="left" indent="1"/>
    </xf>
    <xf numFmtId="0" fontId="66" fillId="0" borderId="0" xfId="0" applyFont="1" applyAlignment="1">
      <alignment horizontal="left" indent="1"/>
    </xf>
    <xf numFmtId="0" fontId="43" fillId="0" borderId="0" xfId="23" applyFont="1" applyAlignment="1">
      <alignment horizontal="left" indent="1"/>
    </xf>
    <xf numFmtId="0" fontId="43" fillId="0" borderId="0" xfId="24" applyFont="1" applyAlignment="1">
      <alignment horizontal="left" indent="1"/>
    </xf>
    <xf numFmtId="0" fontId="38" fillId="0" borderId="0" xfId="0" applyFont="1"/>
    <xf numFmtId="189" fontId="67" fillId="0" borderId="0" xfId="14" applyNumberFormat="1" applyFont="1"/>
    <xf numFmtId="0" fontId="35" fillId="0" borderId="2" xfId="0" applyFont="1" applyBorder="1"/>
    <xf numFmtId="0" fontId="34" fillId="0" borderId="3" xfId="0" applyFont="1" applyBorder="1"/>
    <xf numFmtId="0" fontId="34" fillId="0" borderId="11" xfId="0" applyFont="1" applyBorder="1" applyAlignment="1">
      <alignment horizontal="left" indent="1"/>
    </xf>
    <xf numFmtId="172" fontId="35" fillId="6" borderId="3" xfId="0" applyNumberFormat="1" applyFont="1" applyFill="1" applyBorder="1"/>
    <xf numFmtId="172" fontId="37" fillId="6" borderId="3" xfId="0" applyNumberFormat="1" applyFont="1" applyFill="1" applyBorder="1"/>
    <xf numFmtId="167" fontId="35" fillId="6" borderId="0" xfId="0" applyNumberFormat="1" applyFont="1" applyFill="1"/>
    <xf numFmtId="0" fontId="32" fillId="6" borderId="0" xfId="0" applyFont="1" applyFill="1"/>
    <xf numFmtId="165" fontId="35" fillId="6" borderId="0" xfId="0" applyNumberFormat="1" applyFont="1" applyFill="1"/>
    <xf numFmtId="0" fontId="57" fillId="6" borderId="0" xfId="0" applyFont="1" applyFill="1"/>
    <xf numFmtId="172" fontId="35" fillId="6" borderId="0" xfId="0" applyNumberFormat="1" applyFont="1" applyFill="1"/>
    <xf numFmtId="172" fontId="36" fillId="6" borderId="0" xfId="0" applyNumberFormat="1" applyFont="1" applyFill="1"/>
    <xf numFmtId="171" fontId="35" fillId="11" borderId="8" xfId="0" applyNumberFormat="1" applyFont="1" applyFill="1" applyBorder="1"/>
    <xf numFmtId="168" fontId="35" fillId="6" borderId="0" xfId="0" applyNumberFormat="1" applyFont="1" applyFill="1"/>
    <xf numFmtId="175" fontId="42" fillId="11" borderId="8" xfId="0" applyNumberFormat="1" applyFont="1" applyFill="1" applyBorder="1"/>
    <xf numFmtId="180" fontId="35" fillId="6" borderId="0" xfId="0" applyNumberFormat="1" applyFont="1" applyFill="1"/>
    <xf numFmtId="180" fontId="35" fillId="6" borderId="0" xfId="0" applyNumberFormat="1" applyFont="1" applyFill="1" applyAlignment="1">
      <alignment horizontal="left" indent="1"/>
    </xf>
    <xf numFmtId="0" fontId="42" fillId="6" borderId="0" xfId="0" applyFont="1" applyFill="1" applyAlignment="1">
      <alignment horizontal="left" indent="1"/>
    </xf>
    <xf numFmtId="172" fontId="35" fillId="11" borderId="8" xfId="0" applyNumberFormat="1" applyFont="1" applyFill="1" applyBorder="1"/>
    <xf numFmtId="0" fontId="42" fillId="17" borderId="2" xfId="0" applyFont="1" applyFill="1" applyBorder="1"/>
    <xf numFmtId="0" fontId="35" fillId="17" borderId="2" xfId="0" applyFont="1" applyFill="1" applyBorder="1"/>
    <xf numFmtId="0" fontId="42" fillId="17" borderId="2" xfId="0" applyFont="1" applyFill="1" applyBorder="1" applyAlignment="1">
      <alignment horizontal="left" vertical="center"/>
    </xf>
    <xf numFmtId="186" fontId="49" fillId="17" borderId="2" xfId="0" applyNumberFormat="1" applyFont="1" applyFill="1" applyBorder="1" applyAlignment="1">
      <alignment horizontal="right" vertical="center"/>
    </xf>
    <xf numFmtId="178" fontId="42" fillId="18" borderId="2" xfId="0" applyNumberFormat="1" applyFont="1" applyFill="1" applyBorder="1" applyAlignment="1">
      <alignment horizontal="right" vertical="center"/>
    </xf>
    <xf numFmtId="0" fontId="43" fillId="17" borderId="2" xfId="24" applyFont="1" applyFill="1" applyBorder="1"/>
    <xf numFmtId="0" fontId="43" fillId="17" borderId="2" xfId="24" applyFont="1" applyFill="1" applyBorder="1" applyAlignment="1">
      <alignment horizontal="center"/>
    </xf>
    <xf numFmtId="0" fontId="58" fillId="17" borderId="2" xfId="24" applyFont="1" applyFill="1" applyBorder="1" applyAlignment="1">
      <alignment horizontal="center"/>
    </xf>
    <xf numFmtId="0" fontId="55" fillId="17" borderId="2" xfId="24" applyFont="1" applyFill="1" applyBorder="1" applyAlignment="1">
      <alignment horizontal="right"/>
    </xf>
    <xf numFmtId="178" fontId="42" fillId="0" borderId="0" xfId="0" applyNumberFormat="1" applyFont="1" applyAlignment="1">
      <alignment horizontal="right" vertical="center"/>
    </xf>
    <xf numFmtId="172" fontId="35" fillId="0" borderId="0" xfId="25" applyNumberFormat="1" applyFont="1" applyFill="1" applyBorder="1"/>
    <xf numFmtId="172" fontId="37" fillId="6" borderId="2" xfId="0" applyNumberFormat="1" applyFont="1" applyFill="1" applyBorder="1"/>
    <xf numFmtId="172" fontId="35" fillId="6" borderId="2" xfId="0" applyNumberFormat="1" applyFont="1" applyFill="1" applyBorder="1"/>
    <xf numFmtId="172" fontId="36" fillId="6" borderId="2" xfId="0" applyNumberFormat="1" applyFont="1" applyFill="1" applyBorder="1"/>
    <xf numFmtId="0" fontId="73" fillId="6" borderId="0" xfId="0" applyFont="1" applyFill="1"/>
    <xf numFmtId="0" fontId="75" fillId="6" borderId="0" xfId="0" applyFont="1" applyFill="1"/>
    <xf numFmtId="0" fontId="73" fillId="6" borderId="0" xfId="0" applyFont="1" applyFill="1" applyAlignment="1">
      <alignment horizontal="center"/>
    </xf>
    <xf numFmtId="0" fontId="77" fillId="6" borderId="2" xfId="0" applyFont="1" applyFill="1" applyBorder="1"/>
    <xf numFmtId="0" fontId="75" fillId="6" borderId="2" xfId="0" applyFont="1" applyFill="1" applyBorder="1"/>
    <xf numFmtId="0" fontId="78" fillId="6" borderId="11" xfId="0" applyFont="1" applyFill="1" applyBorder="1" applyAlignment="1">
      <alignment horizontal="right"/>
    </xf>
    <xf numFmtId="0" fontId="78" fillId="6" borderId="0" xfId="0" applyFont="1" applyFill="1" applyAlignment="1">
      <alignment horizontal="right"/>
    </xf>
    <xf numFmtId="43" fontId="80" fillId="6" borderId="0" xfId="0" applyNumberFormat="1" applyFont="1" applyFill="1"/>
    <xf numFmtId="171" fontId="75" fillId="6" borderId="0" xfId="0" applyNumberFormat="1" applyFont="1" applyFill="1"/>
    <xf numFmtId="165" fontId="75" fillId="6" borderId="0" xfId="0" applyNumberFormat="1" applyFont="1" applyFill="1"/>
    <xf numFmtId="0" fontId="83" fillId="6" borderId="0" xfId="22" applyFont="1" applyFill="1" applyAlignment="1">
      <alignment horizontal="left"/>
    </xf>
    <xf numFmtId="0" fontId="84" fillId="6" borderId="0" xfId="23" applyFont="1" applyFill="1" applyAlignment="1">
      <alignment horizontal="centerContinuous"/>
    </xf>
    <xf numFmtId="171" fontId="85" fillId="6" borderId="0" xfId="24" applyNumberFormat="1" applyFont="1" applyFill="1"/>
    <xf numFmtId="172" fontId="77" fillId="6" borderId="0" xfId="24" applyNumberFormat="1" applyFont="1" applyFill="1"/>
    <xf numFmtId="0" fontId="86" fillId="6" borderId="0" xfId="23" applyFont="1" applyFill="1" applyAlignment="1">
      <alignment horizontal="left" indent="1"/>
    </xf>
    <xf numFmtId="175" fontId="80" fillId="11" borderId="8" xfId="24" applyNumberFormat="1" applyFont="1" applyFill="1" applyBorder="1" applyAlignment="1">
      <alignment horizontal="center"/>
    </xf>
    <xf numFmtId="175" fontId="75" fillId="11" borderId="8" xfId="24" applyNumberFormat="1" applyFont="1" applyFill="1" applyBorder="1" applyAlignment="1">
      <alignment horizontal="center"/>
    </xf>
    <xf numFmtId="172" fontId="80" fillId="6" borderId="0" xfId="25" applyNumberFormat="1" applyFont="1" applyFill="1"/>
    <xf numFmtId="172" fontId="86" fillId="6" borderId="0" xfId="26" applyNumberFormat="1" applyFont="1" applyFill="1"/>
    <xf numFmtId="0" fontId="77" fillId="6" borderId="17" xfId="22" applyFont="1" applyFill="1" applyBorder="1" applyAlignment="1">
      <alignment horizontal="left"/>
    </xf>
    <xf numFmtId="0" fontId="85" fillId="6" borderId="11" xfId="24" applyFont="1" applyFill="1" applyBorder="1"/>
    <xf numFmtId="172" fontId="87" fillId="6" borderId="11" xfId="26" applyNumberFormat="1" applyFont="1" applyFill="1" applyBorder="1"/>
    <xf numFmtId="0" fontId="85" fillId="6" borderId="0" xfId="24" applyFont="1" applyFill="1"/>
    <xf numFmtId="0" fontId="77" fillId="6" borderId="0" xfId="22" applyFont="1" applyFill="1" applyAlignment="1">
      <alignment horizontal="left"/>
    </xf>
    <xf numFmtId="0" fontId="78" fillId="6" borderId="3" xfId="0" applyFont="1" applyFill="1" applyBorder="1" applyAlignment="1">
      <alignment horizontal="right"/>
    </xf>
    <xf numFmtId="172" fontId="80" fillId="6" borderId="3" xfId="25" applyNumberFormat="1" applyFont="1" applyFill="1" applyBorder="1"/>
    <xf numFmtId="172" fontId="81" fillId="6" borderId="0" xfId="26" applyNumberFormat="1" applyFont="1" applyFill="1"/>
    <xf numFmtId="3" fontId="85" fillId="13" borderId="0" xfId="27" applyNumberFormat="1" applyFont="1" applyFill="1"/>
    <xf numFmtId="171" fontId="85" fillId="11" borderId="8" xfId="24" applyNumberFormat="1" applyFont="1" applyFill="1" applyBorder="1"/>
    <xf numFmtId="0" fontId="85" fillId="6" borderId="0" xfId="24" applyFont="1" applyFill="1" applyAlignment="1">
      <alignment horizontal="center"/>
    </xf>
    <xf numFmtId="0" fontId="86" fillId="6" borderId="0" xfId="23" applyFont="1" applyFill="1"/>
    <xf numFmtId="165" fontId="86" fillId="6" borderId="0" xfId="23" applyNumberFormat="1" applyFont="1" applyFill="1"/>
    <xf numFmtId="171" fontId="86" fillId="6" borderId="0" xfId="23" applyNumberFormat="1" applyFont="1" applyFill="1"/>
    <xf numFmtId="172" fontId="75" fillId="6" borderId="0" xfId="26" applyNumberFormat="1" applyFont="1" applyFill="1"/>
    <xf numFmtId="0" fontId="85" fillId="6" borderId="0" xfId="22" applyFont="1" applyFill="1" applyAlignment="1">
      <alignment horizontal="center"/>
    </xf>
    <xf numFmtId="177" fontId="75" fillId="6" borderId="0" xfId="0" applyNumberFormat="1" applyFont="1" applyFill="1"/>
    <xf numFmtId="0" fontId="77" fillId="6" borderId="11" xfId="22" applyFont="1" applyFill="1" applyBorder="1" applyAlignment="1">
      <alignment horizontal="left"/>
    </xf>
    <xf numFmtId="172" fontId="81" fillId="6" borderId="11" xfId="25" applyNumberFormat="1" applyFont="1" applyFill="1" applyBorder="1"/>
    <xf numFmtId="0" fontId="86" fillId="6" borderId="0" xfId="23" applyFont="1" applyFill="1" applyAlignment="1">
      <alignment horizontal="center"/>
    </xf>
    <xf numFmtId="166" fontId="88" fillId="6" borderId="0" xfId="23" applyNumberFormat="1" applyFont="1" applyFill="1" applyAlignment="1">
      <alignment horizontal="center"/>
    </xf>
    <xf numFmtId="166" fontId="88" fillId="6" borderId="0" xfId="23" applyNumberFormat="1" applyFont="1" applyFill="1" applyAlignment="1">
      <alignment horizontal="right" vertical="top" wrapText="1"/>
    </xf>
    <xf numFmtId="172" fontId="80" fillId="6" borderId="0" xfId="26" applyNumberFormat="1" applyFont="1" applyFill="1"/>
    <xf numFmtId="172" fontId="85" fillId="6" borderId="0" xfId="22" applyNumberFormat="1" applyFont="1" applyFill="1" applyAlignment="1">
      <alignment horizontal="center"/>
    </xf>
    <xf numFmtId="0" fontId="86" fillId="6" borderId="0" xfId="22" applyFont="1" applyFill="1" applyAlignment="1">
      <alignment horizontal="left" indent="1"/>
    </xf>
    <xf numFmtId="0" fontId="89" fillId="8" borderId="0" xfId="0" applyFont="1" applyFill="1" applyAlignment="1">
      <alignment horizontal="right"/>
    </xf>
    <xf numFmtId="171" fontId="90" fillId="6" borderId="0" xfId="24" applyNumberFormat="1" applyFont="1" applyFill="1"/>
    <xf numFmtId="176" fontId="81" fillId="6" borderId="0" xfId="28" applyNumberFormat="1" applyFont="1" applyFill="1" applyBorder="1"/>
    <xf numFmtId="172" fontId="75" fillId="11" borderId="8" xfId="24" applyNumberFormat="1" applyFont="1" applyFill="1" applyBorder="1" applyAlignment="1">
      <alignment horizontal="right"/>
    </xf>
    <xf numFmtId="0" fontId="91" fillId="6" borderId="0" xfId="22" applyFont="1" applyFill="1" applyAlignment="1">
      <alignment horizontal="left"/>
    </xf>
    <xf numFmtId="0" fontId="81" fillId="6" borderId="0" xfId="23" applyFont="1" applyFill="1" applyAlignment="1">
      <alignment horizontal="center"/>
    </xf>
    <xf numFmtId="0" fontId="81" fillId="6" borderId="0" xfId="23" applyFont="1" applyFill="1" applyAlignment="1">
      <alignment horizontal="left" vertical="center"/>
    </xf>
    <xf numFmtId="178" fontId="81" fillId="6" borderId="0" xfId="23" applyNumberFormat="1" applyFont="1" applyFill="1" applyAlignment="1">
      <alignment horizontal="right" vertical="center"/>
    </xf>
    <xf numFmtId="0" fontId="86" fillId="6" borderId="0" xfId="22" applyFont="1" applyFill="1" applyAlignment="1">
      <alignment horizontal="left" indent="2"/>
    </xf>
    <xf numFmtId="3" fontId="85" fillId="12" borderId="0" xfId="27" applyNumberFormat="1" applyFont="1"/>
    <xf numFmtId="174" fontId="75" fillId="6" borderId="0" xfId="0" applyNumberFormat="1" applyFont="1" applyFill="1"/>
    <xf numFmtId="0" fontId="77" fillId="6" borderId="0" xfId="23" applyFont="1" applyFill="1"/>
    <xf numFmtId="175" fontId="81" fillId="11" borderId="8" xfId="24" applyNumberFormat="1" applyFont="1" applyFill="1" applyBorder="1" applyAlignment="1">
      <alignment horizontal="center"/>
    </xf>
    <xf numFmtId="0" fontId="89" fillId="8" borderId="3" xfId="0" applyFont="1" applyFill="1" applyBorder="1" applyAlignment="1">
      <alignment horizontal="right"/>
    </xf>
    <xf numFmtId="0" fontId="77" fillId="6" borderId="0" xfId="23" applyFont="1" applyFill="1" applyAlignment="1">
      <alignment horizontal="left"/>
    </xf>
    <xf numFmtId="172" fontId="77" fillId="6" borderId="0" xfId="23" applyNumberFormat="1" applyFont="1" applyFill="1"/>
    <xf numFmtId="0" fontId="83" fillId="6" borderId="0" xfId="23" applyFont="1" applyFill="1" applyAlignment="1">
      <alignment horizontal="left"/>
    </xf>
    <xf numFmtId="0" fontId="83" fillId="6" borderId="0" xfId="23" applyFont="1" applyFill="1" applyAlignment="1">
      <alignment horizontal="right"/>
    </xf>
    <xf numFmtId="0" fontId="91" fillId="6" borderId="0" xfId="23" applyFont="1" applyFill="1" applyAlignment="1">
      <alignment horizontal="right"/>
    </xf>
    <xf numFmtId="0" fontId="77" fillId="6" borderId="0" xfId="23" applyFont="1" applyFill="1" applyAlignment="1">
      <alignment horizontal="right"/>
    </xf>
    <xf numFmtId="180" fontId="75" fillId="6" borderId="0" xfId="23" applyNumberFormat="1" applyFont="1" applyFill="1" applyAlignment="1">
      <alignment horizontal="left" vertical="center" indent="1"/>
    </xf>
    <xf numFmtId="172" fontId="75" fillId="6" borderId="0" xfId="26" applyNumberFormat="1" applyFont="1" applyFill="1" applyAlignment="1">
      <alignment horizontal="right"/>
    </xf>
    <xf numFmtId="180" fontId="75" fillId="6" borderId="0" xfId="23" applyNumberFormat="1" applyFont="1" applyFill="1" applyAlignment="1">
      <alignment horizontal="right"/>
    </xf>
    <xf numFmtId="0" fontId="75" fillId="6" borderId="0" xfId="0" applyFont="1" applyFill="1" applyAlignment="1">
      <alignment horizontal="left" indent="1"/>
    </xf>
    <xf numFmtId="0" fontId="93" fillId="0" borderId="0" xfId="23" applyFont="1" applyAlignment="1">
      <alignment horizontal="right"/>
    </xf>
    <xf numFmtId="0" fontId="86" fillId="0" borderId="0" xfId="23" applyFont="1"/>
    <xf numFmtId="0" fontId="94" fillId="0" borderId="0" xfId="23" applyFont="1" applyAlignment="1">
      <alignment horizontal="center"/>
    </xf>
    <xf numFmtId="0" fontId="86" fillId="0" borderId="0" xfId="23" applyFont="1" applyAlignment="1">
      <alignment horizontal="center"/>
    </xf>
    <xf numFmtId="172" fontId="75" fillId="11" borderId="21" xfId="24" applyNumberFormat="1" applyFont="1" applyFill="1" applyBorder="1" applyAlignment="1">
      <alignment horizontal="right"/>
    </xf>
    <xf numFmtId="172" fontId="95" fillId="12" borderId="0" xfId="27" applyNumberFormat="1" applyFont="1"/>
    <xf numFmtId="0" fontId="95" fillId="12" borderId="0" xfId="27" applyFont="1"/>
    <xf numFmtId="172" fontId="95" fillId="12" borderId="3" xfId="27" applyNumberFormat="1" applyFont="1" applyBorder="1"/>
    <xf numFmtId="172" fontId="79" fillId="6" borderId="2" xfId="0" applyNumberFormat="1" applyFont="1" applyFill="1" applyBorder="1"/>
    <xf numFmtId="172" fontId="75" fillId="6" borderId="2" xfId="0" applyNumberFormat="1" applyFont="1" applyFill="1" applyBorder="1"/>
    <xf numFmtId="172" fontId="75" fillId="6" borderId="0" xfId="0" applyNumberFormat="1" applyFont="1" applyFill="1"/>
    <xf numFmtId="172" fontId="86" fillId="6" borderId="0" xfId="23" applyNumberFormat="1" applyFont="1" applyFill="1"/>
    <xf numFmtId="172" fontId="77" fillId="6" borderId="0" xfId="23" applyNumberFormat="1" applyFont="1" applyFill="1" applyAlignment="1">
      <alignment horizontal="right"/>
    </xf>
    <xf numFmtId="172" fontId="86" fillId="6" borderId="0" xfId="23" applyNumberFormat="1" applyFont="1" applyFill="1" applyAlignment="1">
      <alignment horizontal="right"/>
    </xf>
    <xf numFmtId="172" fontId="86" fillId="0" borderId="0" xfId="23" applyNumberFormat="1" applyFont="1"/>
    <xf numFmtId="172" fontId="34" fillId="6" borderId="0" xfId="0" applyNumberFormat="1" applyFont="1" applyFill="1"/>
    <xf numFmtId="172" fontId="43" fillId="6" borderId="2" xfId="0" applyNumberFormat="1" applyFont="1" applyFill="1" applyBorder="1"/>
    <xf numFmtId="172" fontId="41" fillId="0" borderId="0" xfId="0" applyNumberFormat="1" applyFont="1"/>
    <xf numFmtId="172" fontId="42" fillId="18" borderId="2" xfId="0" applyNumberFormat="1" applyFont="1" applyFill="1" applyBorder="1" applyAlignment="1">
      <alignment horizontal="right" vertical="center"/>
    </xf>
    <xf numFmtId="172" fontId="42" fillId="0" borderId="0" xfId="0" applyNumberFormat="1" applyFont="1" applyAlignment="1">
      <alignment horizontal="right" vertical="center"/>
    </xf>
    <xf numFmtId="172" fontId="40" fillId="0" borderId="0" xfId="0" applyNumberFormat="1" applyFont="1" applyAlignment="1">
      <alignment horizontal="right" vertical="top" wrapText="1"/>
    </xf>
    <xf numFmtId="172" fontId="42" fillId="0" borderId="0" xfId="0" applyNumberFormat="1" applyFont="1"/>
    <xf numFmtId="172" fontId="35" fillId="8" borderId="0" xfId="0" applyNumberFormat="1" applyFont="1" applyFill="1"/>
    <xf numFmtId="172" fontId="34" fillId="8" borderId="0" xfId="0" applyNumberFormat="1" applyFont="1" applyFill="1"/>
    <xf numFmtId="172" fontId="67" fillId="0" borderId="3" xfId="25" applyNumberFormat="1" applyFont="1" applyFill="1" applyBorder="1"/>
    <xf numFmtId="172" fontId="67" fillId="0" borderId="0" xfId="14" applyNumberFormat="1" applyFont="1"/>
    <xf numFmtId="172" fontId="36" fillId="0" borderId="0" xfId="25" applyNumberFormat="1" applyFont="1" applyFill="1" applyBorder="1"/>
    <xf numFmtId="172" fontId="36" fillId="0" borderId="2" xfId="0" applyNumberFormat="1" applyFont="1" applyBorder="1"/>
    <xf numFmtId="172" fontId="36" fillId="11" borderId="8" xfId="0" applyNumberFormat="1" applyFont="1" applyFill="1" applyBorder="1" applyAlignment="1">
      <alignment horizontal="center" vertical="top" wrapText="1"/>
    </xf>
    <xf numFmtId="171" fontId="36" fillId="11" borderId="8" xfId="0" applyNumberFormat="1" applyFont="1" applyFill="1" applyBorder="1" applyAlignment="1">
      <alignment horizontal="center" vertical="top" wrapText="1"/>
    </xf>
    <xf numFmtId="167" fontId="35" fillId="11" borderId="8" xfId="0" applyNumberFormat="1" applyFont="1" applyFill="1" applyBorder="1"/>
    <xf numFmtId="171" fontId="35" fillId="7" borderId="8" xfId="0" applyNumberFormat="1" applyFont="1" applyFill="1" applyBorder="1"/>
    <xf numFmtId="171" fontId="36" fillId="7" borderId="8" xfId="0" applyNumberFormat="1" applyFont="1" applyFill="1" applyBorder="1"/>
    <xf numFmtId="182" fontId="55" fillId="7" borderId="8" xfId="0" applyNumberFormat="1" applyFont="1" applyFill="1" applyBorder="1"/>
    <xf numFmtId="182" fontId="55" fillId="7" borderId="8" xfId="0" applyNumberFormat="1" applyFont="1" applyFill="1" applyBorder="1" applyAlignment="1">
      <alignment horizontal="right"/>
    </xf>
    <xf numFmtId="172" fontId="37" fillId="6" borderId="11" xfId="0" applyNumberFormat="1" applyFont="1" applyFill="1" applyBorder="1"/>
    <xf numFmtId="172" fontId="35" fillId="6" borderId="11" xfId="0" applyNumberFormat="1" applyFont="1" applyFill="1" applyBorder="1"/>
    <xf numFmtId="172" fontId="37" fillId="6" borderId="19" xfId="0" applyNumberFormat="1" applyFont="1" applyFill="1" applyBorder="1"/>
    <xf numFmtId="172" fontId="37" fillId="6" borderId="19" xfId="0" applyNumberFormat="1" applyFont="1" applyFill="1" applyBorder="1" applyAlignment="1">
      <alignment horizontal="right"/>
    </xf>
    <xf numFmtId="172" fontId="37" fillId="6" borderId="20" xfId="0" applyNumberFormat="1" applyFont="1" applyFill="1" applyBorder="1"/>
    <xf numFmtId="172" fontId="35" fillId="6" borderId="19" xfId="0" applyNumberFormat="1" applyFont="1" applyFill="1" applyBorder="1"/>
    <xf numFmtId="172" fontId="37" fillId="6" borderId="13" xfId="0" applyNumberFormat="1" applyFont="1" applyFill="1" applyBorder="1"/>
    <xf numFmtId="172" fontId="37" fillId="6" borderId="3" xfId="0" applyNumberFormat="1" applyFont="1" applyFill="1" applyBorder="1" applyAlignment="1">
      <alignment horizontal="right"/>
    </xf>
    <xf numFmtId="172" fontId="43" fillId="0" borderId="13" xfId="0" applyNumberFormat="1" applyFont="1" applyBorder="1"/>
    <xf numFmtId="172" fontId="68" fillId="0" borderId="0" xfId="25" applyNumberFormat="1" applyFont="1" applyBorder="1"/>
    <xf numFmtId="0" fontId="72" fillId="6" borderId="3" xfId="0" applyFont="1" applyFill="1" applyBorder="1"/>
    <xf numFmtId="0" fontId="43" fillId="0" borderId="12" xfId="0" applyFont="1" applyBorder="1"/>
    <xf numFmtId="172" fontId="50" fillId="0" borderId="2" xfId="0" applyNumberFormat="1" applyFont="1" applyBorder="1"/>
    <xf numFmtId="0" fontId="19" fillId="0" borderId="0" xfId="0" applyFont="1"/>
    <xf numFmtId="0" fontId="43" fillId="0" borderId="24" xfId="23" applyFont="1" applyBorder="1" applyAlignment="1">
      <alignment horizontal="left"/>
    </xf>
    <xf numFmtId="0" fontId="43" fillId="0" borderId="24" xfId="23" applyFont="1" applyBorder="1" applyAlignment="1">
      <alignment horizontal="center"/>
    </xf>
    <xf numFmtId="0" fontId="61" fillId="0" borderId="24" xfId="23" applyFont="1" applyBorder="1" applyAlignment="1">
      <alignment horizontal="center"/>
    </xf>
    <xf numFmtId="172" fontId="42" fillId="0" borderId="24" xfId="29" applyNumberFormat="1" applyFont="1" applyBorder="1" applyAlignment="1"/>
    <xf numFmtId="171" fontId="43" fillId="0" borderId="24" xfId="24" applyNumberFormat="1" applyFont="1" applyBorder="1"/>
    <xf numFmtId="0" fontId="43" fillId="0" borderId="22" xfId="23" applyFont="1" applyBorder="1"/>
    <xf numFmtId="0" fontId="46" fillId="0" borderId="24" xfId="23" applyFont="1" applyBorder="1" applyAlignment="1">
      <alignment horizontal="center"/>
    </xf>
    <xf numFmtId="172" fontId="42" fillId="0" borderId="23" xfId="29" applyNumberFormat="1" applyFont="1" applyBorder="1" applyAlignment="1"/>
    <xf numFmtId="184" fontId="43" fillId="0" borderId="24" xfId="30" applyNumberFormat="1" applyFont="1" applyBorder="1"/>
    <xf numFmtId="37" fontId="43" fillId="0" borderId="24" xfId="23" applyNumberFormat="1" applyFont="1" applyBorder="1" applyAlignment="1">
      <alignment horizontal="center"/>
    </xf>
    <xf numFmtId="37" fontId="61" fillId="0" borderId="24" xfId="23" applyNumberFormat="1" applyFont="1" applyBorder="1" applyAlignment="1">
      <alignment horizontal="center"/>
    </xf>
    <xf numFmtId="0" fontId="43" fillId="15" borderId="24" xfId="23" applyFont="1" applyFill="1" applyBorder="1"/>
    <xf numFmtId="0" fontId="42" fillId="0" borderId="24" xfId="30" applyFont="1" applyBorder="1" applyAlignment="1">
      <alignment horizontal="left"/>
    </xf>
    <xf numFmtId="184" fontId="42" fillId="0" borderId="24" xfId="26" applyNumberFormat="1" applyFont="1" applyFill="1" applyBorder="1" applyAlignment="1">
      <alignment horizontal="center"/>
    </xf>
    <xf numFmtId="184" fontId="61" fillId="0" borderId="24" xfId="26" applyNumberFormat="1" applyFont="1" applyFill="1" applyBorder="1" applyAlignment="1">
      <alignment horizontal="center"/>
    </xf>
    <xf numFmtId="171" fontId="55" fillId="0" borderId="24" xfId="24" applyNumberFormat="1" applyFont="1" applyBorder="1"/>
    <xf numFmtId="172" fontId="43" fillId="0" borderId="24" xfId="23" applyNumberFormat="1" applyFont="1" applyBorder="1" applyAlignment="1">
      <alignment horizontal="center"/>
    </xf>
    <xf numFmtId="172" fontId="61" fillId="0" borderId="24" xfId="23" applyNumberFormat="1" applyFont="1" applyBorder="1" applyAlignment="1">
      <alignment horizontal="center"/>
    </xf>
    <xf numFmtId="172" fontId="43" fillId="0" borderId="24" xfId="23" applyNumberFormat="1" applyFont="1" applyBorder="1"/>
    <xf numFmtId="172" fontId="42" fillId="0" borderId="24" xfId="26" applyNumberFormat="1" applyFont="1" applyBorder="1"/>
    <xf numFmtId="0" fontId="34" fillId="8" borderId="24" xfId="0" applyFont="1" applyFill="1" applyBorder="1" applyAlignment="1">
      <alignment horizontal="left" indent="1"/>
    </xf>
    <xf numFmtId="172" fontId="36" fillId="8" borderId="24" xfId="0" applyNumberFormat="1" applyFont="1" applyFill="1" applyBorder="1"/>
    <xf numFmtId="0" fontId="85" fillId="6" borderId="24" xfId="24" applyFont="1" applyFill="1" applyBorder="1"/>
    <xf numFmtId="0" fontId="77" fillId="6" borderId="24" xfId="22" applyFont="1" applyFill="1" applyBorder="1" applyAlignment="1">
      <alignment horizontal="left"/>
    </xf>
    <xf numFmtId="3" fontId="85" fillId="13" borderId="24" xfId="27" applyNumberFormat="1" applyFont="1" applyFill="1" applyBorder="1"/>
    <xf numFmtId="172" fontId="81" fillId="6" borderId="24" xfId="26" applyNumberFormat="1" applyFont="1" applyFill="1" applyBorder="1"/>
    <xf numFmtId="176" fontId="81" fillId="6" borderId="24" xfId="28" applyNumberFormat="1" applyFont="1" applyFill="1" applyBorder="1"/>
    <xf numFmtId="0" fontId="89" fillId="8" borderId="24" xfId="0" applyFont="1" applyFill="1" applyBorder="1" applyAlignment="1">
      <alignment horizontal="right"/>
    </xf>
    <xf numFmtId="172" fontId="92" fillId="6" borderId="24" xfId="26" applyNumberFormat="1" applyFont="1" applyFill="1" applyBorder="1"/>
    <xf numFmtId="0" fontId="77" fillId="6" borderId="24" xfId="23" applyFont="1" applyFill="1" applyBorder="1" applyAlignment="1">
      <alignment horizontal="left"/>
    </xf>
    <xf numFmtId="172" fontId="77" fillId="6" borderId="24" xfId="23" applyNumberFormat="1" applyFont="1" applyFill="1" applyBorder="1"/>
    <xf numFmtId="3" fontId="85" fillId="12" borderId="24" xfId="27" applyNumberFormat="1" applyFont="1" applyBorder="1"/>
    <xf numFmtId="172" fontId="77" fillId="6" borderId="24" xfId="23" applyNumberFormat="1" applyFont="1" applyFill="1" applyBorder="1" applyAlignment="1">
      <alignment horizontal="left"/>
    </xf>
    <xf numFmtId="0" fontId="42" fillId="6" borderId="24" xfId="0" applyFont="1" applyFill="1" applyBorder="1"/>
    <xf numFmtId="0" fontId="35" fillId="6" borderId="24" xfId="0" applyFont="1" applyFill="1" applyBorder="1"/>
    <xf numFmtId="172" fontId="42" fillId="6" borderId="24" xfId="0" applyNumberFormat="1" applyFont="1" applyFill="1" applyBorder="1"/>
    <xf numFmtId="172" fontId="95" fillId="12" borderId="24" xfId="27" applyNumberFormat="1" applyFont="1" applyBorder="1"/>
    <xf numFmtId="0" fontId="95" fillId="12" borderId="24" xfId="27" applyFont="1" applyBorder="1"/>
    <xf numFmtId="171" fontId="42" fillId="6" borderId="24" xfId="0" applyNumberFormat="1" applyFont="1" applyFill="1" applyBorder="1"/>
    <xf numFmtId="172" fontId="36" fillId="6" borderId="24" xfId="0" applyNumberFormat="1" applyFont="1" applyFill="1" applyBorder="1"/>
    <xf numFmtId="172" fontId="35" fillId="6" borderId="24" xfId="0" applyNumberFormat="1" applyFont="1" applyFill="1" applyBorder="1"/>
    <xf numFmtId="190" fontId="99" fillId="0" borderId="15" xfId="0" applyNumberFormat="1" applyFont="1" applyBorder="1"/>
    <xf numFmtId="0" fontId="0" fillId="0" borderId="4" xfId="0" applyBorder="1"/>
    <xf numFmtId="0" fontId="2" fillId="0" borderId="0" xfId="0" applyFont="1"/>
    <xf numFmtId="171" fontId="36" fillId="6" borderId="0" xfId="0" applyNumberFormat="1" applyFont="1" applyFill="1"/>
    <xf numFmtId="171" fontId="35" fillId="6" borderId="0" xfId="0" applyNumberFormat="1" applyFont="1" applyFill="1" applyAlignment="1">
      <alignment horizontal="left" indent="1"/>
    </xf>
    <xf numFmtId="171" fontId="55" fillId="0" borderId="0" xfId="24" applyNumberFormat="1" applyFont="1" applyAlignment="1">
      <alignment horizontal="left" indent="1"/>
    </xf>
    <xf numFmtId="171" fontId="55" fillId="0" borderId="0" xfId="24" applyNumberFormat="1" applyFont="1" applyAlignment="1">
      <alignment horizontal="center"/>
    </xf>
    <xf numFmtId="171" fontId="46" fillId="0" borderId="0" xfId="24" applyNumberFormat="1" applyFont="1" applyAlignment="1">
      <alignment horizontal="center"/>
    </xf>
    <xf numFmtId="171" fontId="43" fillId="0" borderId="24" xfId="16" applyNumberFormat="1" applyFont="1" applyBorder="1"/>
    <xf numFmtId="171" fontId="46" fillId="0" borderId="24" xfId="16" applyNumberFormat="1" applyFont="1" applyBorder="1" applyAlignment="1">
      <alignment horizontal="center"/>
    </xf>
    <xf numFmtId="171" fontId="43" fillId="0" borderId="0" xfId="24" applyNumberFormat="1" applyFont="1" applyAlignment="1">
      <alignment horizontal="left" indent="1"/>
    </xf>
    <xf numFmtId="171" fontId="62" fillId="0" borderId="0" xfId="17" applyNumberFormat="1" applyFont="1" applyAlignment="1">
      <alignment horizontal="left" vertical="top"/>
    </xf>
    <xf numFmtId="171" fontId="58" fillId="0" borderId="0" xfId="0" applyNumberFormat="1" applyFont="1"/>
    <xf numFmtId="171" fontId="43" fillId="0" borderId="0" xfId="24" applyNumberFormat="1" applyFont="1" applyAlignment="1">
      <alignment horizontal="left"/>
    </xf>
    <xf numFmtId="171" fontId="46" fillId="0" borderId="0" xfId="23" applyNumberFormat="1" applyFont="1" applyAlignment="1">
      <alignment horizontal="center"/>
    </xf>
    <xf numFmtId="171" fontId="55" fillId="0" borderId="24" xfId="24" applyNumberFormat="1" applyFont="1" applyBorder="1" applyAlignment="1">
      <alignment horizontal="center"/>
    </xf>
    <xf numFmtId="171" fontId="46" fillId="0" borderId="24" xfId="24" applyNumberFormat="1" applyFont="1" applyBorder="1" applyAlignment="1">
      <alignment horizontal="center"/>
    </xf>
    <xf numFmtId="171" fontId="35" fillId="0" borderId="0" xfId="0" applyNumberFormat="1" applyFont="1"/>
    <xf numFmtId="43" fontId="44" fillId="6" borderId="0" xfId="0" applyNumberFormat="1" applyFont="1" applyFill="1"/>
    <xf numFmtId="172" fontId="100" fillId="6" borderId="0" xfId="25" applyNumberFormat="1" applyFont="1" applyFill="1"/>
    <xf numFmtId="172" fontId="100" fillId="6" borderId="0" xfId="25" applyNumberFormat="1" applyFont="1" applyFill="1" applyBorder="1"/>
    <xf numFmtId="172" fontId="101" fillId="0" borderId="0" xfId="24" applyNumberFormat="1" applyFont="1"/>
    <xf numFmtId="9" fontId="35" fillId="6" borderId="0" xfId="0" applyNumberFormat="1" applyFont="1" applyFill="1"/>
    <xf numFmtId="9" fontId="55" fillId="7" borderId="8" xfId="0" applyNumberFormat="1" applyFont="1" applyFill="1" applyBorder="1"/>
    <xf numFmtId="9" fontId="35" fillId="7" borderId="8" xfId="0" applyNumberFormat="1" applyFont="1" applyFill="1" applyBorder="1"/>
    <xf numFmtId="171" fontId="36" fillId="0" borderId="0" xfId="0" applyNumberFormat="1" applyFont="1"/>
    <xf numFmtId="0" fontId="26" fillId="21" borderId="0" xfId="0" applyFont="1" applyFill="1"/>
    <xf numFmtId="0" fontId="27" fillId="21" borderId="0" xfId="0" applyFont="1" applyFill="1"/>
    <xf numFmtId="169" fontId="26" fillId="21" borderId="0" xfId="0" applyNumberFormat="1" applyFont="1" applyFill="1"/>
    <xf numFmtId="0" fontId="35" fillId="24" borderId="2" xfId="0" applyFont="1" applyFill="1" applyBorder="1"/>
    <xf numFmtId="0" fontId="32" fillId="21" borderId="0" xfId="0" applyFont="1" applyFill="1" applyAlignment="1">
      <alignment horizontal="left" vertical="center"/>
    </xf>
    <xf numFmtId="0" fontId="32" fillId="21" borderId="0" xfId="0" applyFont="1" applyFill="1"/>
    <xf numFmtId="0" fontId="30" fillId="21" borderId="0" xfId="0" applyFont="1" applyFill="1"/>
    <xf numFmtId="169" fontId="30" fillId="21" borderId="0" xfId="0" applyNumberFormat="1" applyFont="1" applyFill="1"/>
    <xf numFmtId="170" fontId="30" fillId="21" borderId="0" xfId="0" applyNumberFormat="1" applyFont="1" applyFill="1"/>
    <xf numFmtId="0" fontId="30" fillId="21" borderId="0" xfId="0" applyFont="1" applyFill="1" applyAlignment="1">
      <alignment horizontal="left"/>
    </xf>
    <xf numFmtId="0" fontId="43" fillId="24" borderId="11" xfId="0" applyFont="1" applyFill="1" applyBorder="1"/>
    <xf numFmtId="0" fontId="35" fillId="24" borderId="11" xfId="0" applyFont="1" applyFill="1" applyBorder="1"/>
    <xf numFmtId="181" fontId="37" fillId="24" borderId="11" xfId="0" applyNumberFormat="1" applyFont="1" applyFill="1" applyBorder="1"/>
    <xf numFmtId="43" fontId="35" fillId="24" borderId="11" xfId="0" applyNumberFormat="1" applyFont="1" applyFill="1" applyBorder="1"/>
    <xf numFmtId="0" fontId="30" fillId="21" borderId="0" xfId="0" applyFont="1" applyFill="1" applyAlignment="1">
      <alignment horizontal="right"/>
    </xf>
    <xf numFmtId="0" fontId="30" fillId="21" borderId="0" xfId="0" applyFont="1" applyFill="1" applyAlignment="1">
      <alignment horizontal="center"/>
    </xf>
    <xf numFmtId="169" fontId="30" fillId="21" borderId="1" xfId="0" applyNumberFormat="1" applyFont="1" applyFill="1" applyBorder="1"/>
    <xf numFmtId="0" fontId="32" fillId="21" borderId="0" xfId="0" applyFont="1" applyFill="1" applyAlignment="1">
      <alignment horizontal="center"/>
    </xf>
    <xf numFmtId="0" fontId="27" fillId="21" borderId="0" xfId="0" applyFont="1" applyFill="1" applyAlignment="1">
      <alignment horizontal="left" vertical="center"/>
    </xf>
    <xf numFmtId="170" fontId="26" fillId="21" borderId="0" xfId="0" applyNumberFormat="1" applyFont="1" applyFill="1"/>
    <xf numFmtId="0" fontId="30" fillId="21" borderId="0" xfId="0" applyFont="1" applyFill="1" applyAlignment="1">
      <alignment horizontal="center" vertical="center"/>
    </xf>
    <xf numFmtId="0" fontId="30" fillId="21" borderId="0" xfId="0" applyFont="1" applyFill="1" applyAlignment="1">
      <alignment horizontal="left" vertical="center"/>
    </xf>
    <xf numFmtId="186" fontId="47" fillId="21" borderId="0" xfId="0" applyNumberFormat="1" applyFont="1" applyFill="1" applyAlignment="1">
      <alignment horizontal="right" vertical="center"/>
    </xf>
    <xf numFmtId="178" fontId="33" fillId="22" borderId="0" xfId="0" applyNumberFormat="1" applyFont="1" applyFill="1" applyAlignment="1">
      <alignment horizontal="right" vertical="center"/>
    </xf>
    <xf numFmtId="0" fontId="42" fillId="24" borderId="2" xfId="0" applyFont="1" applyFill="1" applyBorder="1" applyAlignment="1">
      <alignment horizontal="left" vertical="center"/>
    </xf>
    <xf numFmtId="186" fontId="49" fillId="24" borderId="2" xfId="0" applyNumberFormat="1" applyFont="1" applyFill="1" applyBorder="1" applyAlignment="1">
      <alignment horizontal="right" vertical="center"/>
    </xf>
    <xf numFmtId="178" fontId="42" fillId="23" borderId="2" xfId="0" applyNumberFormat="1" applyFont="1" applyFill="1" applyBorder="1" applyAlignment="1">
      <alignment horizontal="right" vertical="center"/>
    </xf>
    <xf numFmtId="0" fontId="43" fillId="24" borderId="2" xfId="24" applyFont="1" applyFill="1" applyBorder="1"/>
    <xf numFmtId="0" fontId="43" fillId="24" borderId="2" xfId="24" applyFont="1" applyFill="1" applyBorder="1" applyAlignment="1">
      <alignment horizontal="center"/>
    </xf>
    <xf numFmtId="0" fontId="58" fillId="24" borderId="2" xfId="24" applyFont="1" applyFill="1" applyBorder="1" applyAlignment="1">
      <alignment horizontal="center"/>
    </xf>
    <xf numFmtId="0" fontId="55" fillId="24" borderId="2" xfId="24" applyFont="1" applyFill="1" applyBorder="1" applyAlignment="1">
      <alignment horizontal="right"/>
    </xf>
    <xf numFmtId="186" fontId="47" fillId="24" borderId="2" xfId="0" applyNumberFormat="1" applyFont="1" applyFill="1" applyBorder="1" applyAlignment="1">
      <alignment horizontal="right" vertical="center"/>
    </xf>
    <xf numFmtId="0" fontId="73" fillId="21" borderId="0" xfId="0" applyFont="1" applyFill="1"/>
    <xf numFmtId="169" fontId="73" fillId="21" borderId="0" xfId="0" applyNumberFormat="1" applyFont="1" applyFill="1"/>
    <xf numFmtId="170" fontId="73" fillId="21" borderId="0" xfId="0" applyNumberFormat="1" applyFont="1" applyFill="1"/>
    <xf numFmtId="0" fontId="74" fillId="21" borderId="0" xfId="0" applyFont="1" applyFill="1"/>
    <xf numFmtId="0" fontId="81" fillId="24" borderId="2" xfId="0" applyFont="1" applyFill="1" applyBorder="1" applyAlignment="1">
      <alignment horizontal="left"/>
    </xf>
    <xf numFmtId="0" fontId="75" fillId="24" borderId="2" xfId="0" applyFont="1" applyFill="1" applyBorder="1"/>
    <xf numFmtId="0" fontId="82" fillId="24" borderId="2" xfId="0" applyFont="1" applyFill="1" applyBorder="1" applyAlignment="1">
      <alignment horizontal="right"/>
    </xf>
    <xf numFmtId="9" fontId="75" fillId="24" borderId="2" xfId="0" applyNumberFormat="1" applyFont="1" applyFill="1" applyBorder="1"/>
    <xf numFmtId="3" fontId="75" fillId="24" borderId="2" xfId="0" applyNumberFormat="1" applyFont="1" applyFill="1" applyBorder="1"/>
    <xf numFmtId="172" fontId="75" fillId="24" borderId="2" xfId="0" applyNumberFormat="1" applyFont="1" applyFill="1" applyBorder="1"/>
    <xf numFmtId="0" fontId="81" fillId="24" borderId="2" xfId="22" applyFont="1" applyFill="1" applyBorder="1" applyAlignment="1">
      <alignment horizontal="left"/>
    </xf>
    <xf numFmtId="0" fontId="81" fillId="24" borderId="2" xfId="23" applyFont="1" applyFill="1" applyBorder="1" applyAlignment="1">
      <alignment horizontal="center"/>
    </xf>
    <xf numFmtId="0" fontId="81" fillId="24" borderId="2" xfId="23" applyFont="1" applyFill="1" applyBorder="1" applyAlignment="1">
      <alignment horizontal="left" vertical="center"/>
    </xf>
    <xf numFmtId="178" fontId="81" fillId="24" borderId="2" xfId="23" applyNumberFormat="1" applyFont="1" applyFill="1" applyBorder="1" applyAlignment="1">
      <alignment horizontal="right" vertical="center"/>
    </xf>
    <xf numFmtId="172" fontId="81" fillId="24" borderId="2" xfId="23" applyNumberFormat="1" applyFont="1" applyFill="1" applyBorder="1" applyAlignment="1">
      <alignment horizontal="left" vertical="center"/>
    </xf>
    <xf numFmtId="172" fontId="81" fillId="24" borderId="2" xfId="23" applyNumberFormat="1" applyFont="1" applyFill="1" applyBorder="1" applyAlignment="1">
      <alignment horizontal="right" vertical="center"/>
    </xf>
    <xf numFmtId="169" fontId="32" fillId="21" borderId="0" xfId="0" applyNumberFormat="1" applyFont="1" applyFill="1"/>
    <xf numFmtId="170" fontId="32" fillId="21" borderId="0" xfId="0" applyNumberFormat="1" applyFont="1" applyFill="1"/>
    <xf numFmtId="0" fontId="42" fillId="24" borderId="2" xfId="0" applyFont="1" applyFill="1" applyBorder="1" applyAlignment="1">
      <alignment horizontal="left"/>
    </xf>
    <xf numFmtId="0" fontId="71" fillId="24" borderId="2" xfId="0" applyFont="1" applyFill="1" applyBorder="1" applyAlignment="1">
      <alignment horizontal="right"/>
    </xf>
    <xf numFmtId="9" fontId="35" fillId="24" borderId="2" xfId="0" applyNumberFormat="1" applyFont="1" applyFill="1" applyBorder="1"/>
    <xf numFmtId="3" fontId="35" fillId="24" borderId="2" xfId="0" applyNumberFormat="1" applyFont="1" applyFill="1" applyBorder="1"/>
    <xf numFmtId="172" fontId="35" fillId="24" borderId="2" xfId="0" applyNumberFormat="1" applyFont="1" applyFill="1" applyBorder="1"/>
    <xf numFmtId="0" fontId="43" fillId="24" borderId="2" xfId="0" applyFont="1" applyFill="1" applyBorder="1"/>
    <xf numFmtId="0" fontId="42" fillId="24" borderId="2" xfId="0" applyFont="1" applyFill="1" applyBorder="1"/>
    <xf numFmtId="0" fontId="102" fillId="22" borderId="22" xfId="0" applyFont="1" applyFill="1" applyBorder="1"/>
    <xf numFmtId="0" fontId="102" fillId="22" borderId="0" xfId="0" applyFont="1" applyFill="1"/>
    <xf numFmtId="0" fontId="103" fillId="22" borderId="24" xfId="0" applyFont="1" applyFill="1" applyBorder="1"/>
    <xf numFmtId="0" fontId="103" fillId="22" borderId="23" xfId="0" applyFont="1" applyFill="1" applyBorder="1"/>
    <xf numFmtId="0" fontId="104" fillId="22" borderId="4" xfId="0" applyFont="1" applyFill="1" applyBorder="1"/>
    <xf numFmtId="0" fontId="105" fillId="22" borderId="0" xfId="0" applyFont="1" applyFill="1"/>
    <xf numFmtId="0" fontId="105" fillId="22" borderId="5" xfId="0" applyFont="1" applyFill="1" applyBorder="1"/>
    <xf numFmtId="0" fontId="105" fillId="22" borderId="4" xfId="0" applyFont="1" applyFill="1" applyBorder="1"/>
    <xf numFmtId="14" fontId="105" fillId="22" borderId="0" xfId="0" applyNumberFormat="1" applyFont="1" applyFill="1"/>
    <xf numFmtId="0" fontId="106" fillId="25" borderId="6" xfId="0" applyFont="1" applyFill="1" applyBorder="1"/>
    <xf numFmtId="0" fontId="106" fillId="25" borderId="3" xfId="0" applyFont="1" applyFill="1" applyBorder="1"/>
    <xf numFmtId="0" fontId="106" fillId="25" borderId="7" xfId="0" applyFont="1" applyFill="1" applyBorder="1"/>
    <xf numFmtId="0" fontId="107" fillId="0" borderId="4" xfId="0" applyFont="1" applyBorder="1"/>
    <xf numFmtId="0" fontId="107" fillId="0" borderId="0" xfId="0" applyFont="1"/>
    <xf numFmtId="0" fontId="107" fillId="0" borderId="5" xfId="0" applyFont="1" applyBorder="1"/>
    <xf numFmtId="0" fontId="108" fillId="7" borderId="8" xfId="0" applyFont="1" applyFill="1" applyBorder="1"/>
    <xf numFmtId="0" fontId="108" fillId="7" borderId="9" xfId="0" applyFont="1" applyFill="1" applyBorder="1"/>
    <xf numFmtId="0" fontId="106" fillId="0" borderId="4" xfId="0" applyFont="1" applyBorder="1"/>
    <xf numFmtId="0" fontId="109" fillId="0" borderId="0" xfId="0" applyFont="1"/>
    <xf numFmtId="0" fontId="107" fillId="25" borderId="3" xfId="0" applyFont="1" applyFill="1" applyBorder="1"/>
    <xf numFmtId="0" fontId="107" fillId="25" borderId="7" xfId="0" applyFont="1" applyFill="1" applyBorder="1"/>
    <xf numFmtId="0" fontId="106" fillId="0" borderId="0" xfId="0" applyFont="1"/>
    <xf numFmtId="0" fontId="110" fillId="0" borderId="4" xfId="0" applyFont="1" applyBorder="1"/>
    <xf numFmtId="0" fontId="110" fillId="0" borderId="0" xfId="0" applyFont="1"/>
    <xf numFmtId="0" fontId="106" fillId="0" borderId="5" xfId="0" applyFont="1" applyBorder="1"/>
    <xf numFmtId="10" fontId="111" fillId="0" borderId="0" xfId="0" applyNumberFormat="1" applyFont="1"/>
    <xf numFmtId="0" fontId="112" fillId="0" borderId="0" xfId="0" applyFont="1"/>
    <xf numFmtId="0" fontId="113" fillId="0" borderId="0" xfId="0" applyFont="1"/>
    <xf numFmtId="172" fontId="112" fillId="0" borderId="0" xfId="0" applyNumberFormat="1" applyFont="1"/>
    <xf numFmtId="0" fontId="112" fillId="7" borderId="10" xfId="0" applyFont="1" applyFill="1" applyBorder="1"/>
    <xf numFmtId="188" fontId="107" fillId="0" borderId="0" xfId="0" applyNumberFormat="1" applyFont="1"/>
    <xf numFmtId="0" fontId="107" fillId="0" borderId="6" xfId="0" applyFont="1" applyBorder="1"/>
    <xf numFmtId="191" fontId="107" fillId="0" borderId="3" xfId="0" applyNumberFormat="1" applyFont="1" applyBorder="1"/>
    <xf numFmtId="0" fontId="107" fillId="0" borderId="3" xfId="0" applyFont="1" applyBorder="1"/>
    <xf numFmtId="0" fontId="107" fillId="0" borderId="7" xfId="0" applyFont="1" applyBorder="1"/>
    <xf numFmtId="0" fontId="36" fillId="6" borderId="0" xfId="0" applyFont="1" applyFill="1"/>
    <xf numFmtId="41" fontId="35" fillId="6" borderId="0" xfId="46" applyFont="1" applyFill="1"/>
    <xf numFmtId="191" fontId="72" fillId="6" borderId="0" xfId="0" applyNumberFormat="1" applyFont="1" applyFill="1"/>
    <xf numFmtId="0" fontId="72" fillId="6" borderId="0" xfId="0" applyFont="1" applyFill="1"/>
    <xf numFmtId="191" fontId="35" fillId="6" borderId="0" xfId="0" applyNumberFormat="1" applyFont="1" applyFill="1"/>
    <xf numFmtId="0" fontId="115" fillId="21" borderId="0" xfId="0" applyFont="1" applyFill="1"/>
    <xf numFmtId="0" fontId="116" fillId="21" borderId="0" xfId="0" applyFont="1" applyFill="1"/>
    <xf numFmtId="0" fontId="117" fillId="8" borderId="0" xfId="0" applyFont="1" applyFill="1"/>
    <xf numFmtId="0" fontId="118" fillId="0" borderId="0" xfId="0" applyFont="1"/>
    <xf numFmtId="169" fontId="115" fillId="21" borderId="0" xfId="0" applyNumberFormat="1" applyFont="1" applyFill="1"/>
    <xf numFmtId="192" fontId="115" fillId="21" borderId="0" xfId="0" applyNumberFormat="1" applyFont="1" applyFill="1"/>
    <xf numFmtId="0" fontId="120" fillId="8" borderId="0" xfId="0" applyFont="1" applyFill="1" applyAlignment="1">
      <alignment horizontal="center"/>
    </xf>
    <xf numFmtId="0" fontId="117" fillId="22" borderId="0" xfId="0" applyFont="1" applyFill="1"/>
    <xf numFmtId="0" fontId="121" fillId="22" borderId="0" xfId="0" applyFont="1" applyFill="1"/>
    <xf numFmtId="0" fontId="117" fillId="8" borderId="0" xfId="0" applyFont="1" applyFill="1" applyAlignment="1">
      <alignment horizontal="left" indent="1"/>
    </xf>
    <xf numFmtId="172" fontId="67" fillId="0" borderId="0" xfId="0" applyNumberFormat="1" applyFont="1" applyAlignment="1">
      <alignment horizontal="right" vertical="top" wrapText="1"/>
    </xf>
    <xf numFmtId="172" fontId="122" fillId="0" borderId="0" xfId="0" applyNumberFormat="1" applyFont="1" applyAlignment="1">
      <alignment horizontal="right" vertical="top" wrapText="1"/>
    </xf>
    <xf numFmtId="173" fontId="118" fillId="0" borderId="0" xfId="16" applyNumberFormat="1" applyFont="1"/>
    <xf numFmtId="0" fontId="123" fillId="8" borderId="24" xfId="0" applyFont="1" applyFill="1" applyBorder="1"/>
    <xf numFmtId="0" fontId="117" fillId="8" borderId="24" xfId="0" applyFont="1" applyFill="1" applyBorder="1"/>
    <xf numFmtId="190" fontId="123" fillId="8" borderId="24" xfId="0" applyNumberFormat="1" applyFont="1" applyFill="1" applyBorder="1"/>
    <xf numFmtId="9" fontId="118" fillId="0" borderId="0" xfId="0" applyNumberFormat="1" applyFont="1"/>
    <xf numFmtId="0" fontId="123" fillId="8" borderId="0" xfId="0" applyFont="1" applyFill="1"/>
    <xf numFmtId="171" fontId="117" fillId="8" borderId="0" xfId="0" applyNumberFormat="1" applyFont="1" applyFill="1"/>
    <xf numFmtId="172" fontId="122" fillId="0" borderId="3" xfId="0" applyNumberFormat="1" applyFont="1" applyBorder="1" applyAlignment="1">
      <alignment horizontal="right" vertical="top" wrapText="1"/>
    </xf>
    <xf numFmtId="0" fontId="123" fillId="23" borderId="2" xfId="0" applyFont="1" applyFill="1" applyBorder="1"/>
    <xf numFmtId="0" fontId="124" fillId="8" borderId="0" xfId="0" applyFont="1" applyFill="1"/>
    <xf numFmtId="191" fontId="125" fillId="6" borderId="0" xfId="0" applyNumberFormat="1" applyFont="1" applyFill="1"/>
    <xf numFmtId="172" fontId="122" fillId="0" borderId="24" xfId="0" applyNumberFormat="1" applyFont="1" applyBorder="1" applyAlignment="1">
      <alignment horizontal="right" vertical="top" wrapText="1"/>
    </xf>
    <xf numFmtId="166" fontId="67" fillId="0" borderId="0" xfId="0" applyNumberFormat="1" applyFont="1" applyAlignment="1">
      <alignment horizontal="right" vertical="top" wrapText="1"/>
    </xf>
    <xf numFmtId="172" fontId="126" fillId="0" borderId="0" xfId="24" applyNumberFormat="1" applyFont="1" applyAlignment="1">
      <alignment horizontal="right"/>
    </xf>
    <xf numFmtId="0" fontId="127" fillId="0" borderId="0" xfId="0" applyFont="1" applyAlignment="1">
      <alignment horizontal="left" vertical="top"/>
    </xf>
    <xf numFmtId="172" fontId="128" fillId="8" borderId="0" xfId="0" applyNumberFormat="1" applyFont="1" applyFill="1"/>
    <xf numFmtId="172" fontId="128" fillId="0" borderId="0" xfId="0" applyNumberFormat="1" applyFont="1" applyAlignment="1">
      <alignment horizontal="right" vertical="top" wrapText="1"/>
    </xf>
    <xf numFmtId="174" fontId="117" fillId="8" borderId="24" xfId="0" applyNumberFormat="1" applyFont="1" applyFill="1" applyBorder="1"/>
    <xf numFmtId="190" fontId="67" fillId="8" borderId="24" xfId="0" applyNumberFormat="1" applyFont="1" applyFill="1" applyBorder="1"/>
    <xf numFmtId="0" fontId="117" fillId="8" borderId="0" xfId="0" applyFont="1" applyFill="1" applyAlignment="1">
      <alignment horizontal="center"/>
    </xf>
    <xf numFmtId="0" fontId="129" fillId="0" borderId="0" xfId="0" applyFont="1" applyAlignment="1">
      <alignment horizontal="left" vertical="top" indent="1"/>
    </xf>
    <xf numFmtId="0" fontId="117" fillId="0" borderId="0" xfId="0" applyFont="1"/>
    <xf numFmtId="172" fontId="99" fillId="0" borderId="25" xfId="0" applyNumberFormat="1" applyFont="1" applyBorder="1" applyAlignment="1">
      <alignment horizontal="right" vertical="top" wrapText="1"/>
    </xf>
    <xf numFmtId="0" fontId="123" fillId="8" borderId="12" xfId="0" applyFont="1" applyFill="1" applyBorder="1"/>
    <xf numFmtId="0" fontId="117" fillId="8" borderId="2" xfId="0" applyFont="1" applyFill="1" applyBorder="1"/>
    <xf numFmtId="190" fontId="123" fillId="8" borderId="2" xfId="0" applyNumberFormat="1" applyFont="1" applyFill="1" applyBorder="1"/>
    <xf numFmtId="10" fontId="117" fillId="8" borderId="0" xfId="0" applyNumberFormat="1" applyFont="1" applyFill="1"/>
    <xf numFmtId="0" fontId="117" fillId="23" borderId="2" xfId="0" applyFont="1" applyFill="1" applyBorder="1"/>
    <xf numFmtId="0" fontId="130" fillId="8" borderId="0" xfId="0" applyFont="1" applyFill="1"/>
    <xf numFmtId="0" fontId="67" fillId="8" borderId="0" xfId="0" applyFont="1" applyFill="1"/>
    <xf numFmtId="0" fontId="122" fillId="8" borderId="0" xfId="0" applyFont="1" applyFill="1"/>
    <xf numFmtId="190" fontId="118" fillId="8" borderId="0" xfId="0" applyNumberFormat="1" applyFont="1" applyFill="1"/>
    <xf numFmtId="177" fontId="118" fillId="0" borderId="0" xfId="0" applyNumberFormat="1" applyFont="1"/>
    <xf numFmtId="166" fontId="118" fillId="0" borderId="0" xfId="0" applyNumberFormat="1" applyFont="1" applyAlignment="1">
      <alignment horizontal="right" vertical="top" wrapText="1"/>
    </xf>
    <xf numFmtId="0" fontId="120" fillId="8" borderId="0" xfId="0" applyFont="1" applyFill="1"/>
    <xf numFmtId="188" fontId="117" fillId="8" borderId="0" xfId="0" applyNumberFormat="1" applyFont="1" applyFill="1"/>
    <xf numFmtId="0" fontId="117" fillId="0" borderId="0" xfId="0" applyFont="1" applyAlignment="1">
      <alignment horizontal="left" indent="1"/>
    </xf>
    <xf numFmtId="172" fontId="122" fillId="8" borderId="0" xfId="0" applyNumberFormat="1" applyFont="1" applyFill="1"/>
    <xf numFmtId="0" fontId="124" fillId="0" borderId="0" xfId="0" applyFont="1"/>
    <xf numFmtId="190" fontId="118" fillId="11" borderId="8" xfId="24" applyNumberFormat="1" applyFont="1" applyFill="1" applyBorder="1" applyAlignment="1">
      <alignment horizontal="right"/>
    </xf>
    <xf numFmtId="0" fontId="130" fillId="8" borderId="14" xfId="0" applyFont="1" applyFill="1" applyBorder="1"/>
    <xf numFmtId="0" fontId="117" fillId="8" borderId="15" xfId="0" applyFont="1" applyFill="1" applyBorder="1"/>
    <xf numFmtId="190" fontId="123" fillId="8" borderId="15" xfId="0" applyNumberFormat="1" applyFont="1" applyFill="1" applyBorder="1"/>
    <xf numFmtId="0" fontId="131" fillId="0" borderId="24" xfId="0" applyFont="1" applyBorder="1" applyAlignment="1">
      <alignment horizontal="left" vertical="top"/>
    </xf>
    <xf numFmtId="0" fontId="129" fillId="0" borderId="0" xfId="0" applyFont="1" applyAlignment="1">
      <alignment horizontal="left" vertical="top"/>
    </xf>
    <xf numFmtId="166" fontId="117" fillId="8" borderId="0" xfId="0" applyNumberFormat="1" applyFont="1" applyFill="1"/>
    <xf numFmtId="0" fontId="117" fillId="0" borderId="0" xfId="0" applyFont="1" applyAlignment="1">
      <alignment horizontal="left" vertical="top" indent="1"/>
    </xf>
    <xf numFmtId="191" fontId="67" fillId="0" borderId="0" xfId="0" applyNumberFormat="1" applyFont="1" applyAlignment="1">
      <alignment horizontal="right" vertical="top" wrapText="1"/>
    </xf>
    <xf numFmtId="0" fontId="123" fillId="8" borderId="14" xfId="0" applyFont="1" applyFill="1" applyBorder="1"/>
    <xf numFmtId="190" fontId="123" fillId="8" borderId="18" xfId="0" applyNumberFormat="1" applyFont="1" applyFill="1" applyBorder="1"/>
    <xf numFmtId="172" fontId="118" fillId="11" borderId="8" xfId="24" applyNumberFormat="1" applyFont="1" applyFill="1" applyBorder="1" applyAlignment="1">
      <alignment horizontal="right"/>
    </xf>
    <xf numFmtId="172" fontId="117" fillId="8" borderId="0" xfId="0" applyNumberFormat="1" applyFont="1" applyFill="1"/>
    <xf numFmtId="172" fontId="67" fillId="11" borderId="8" xfId="24" applyNumberFormat="1" applyFont="1" applyFill="1" applyBorder="1" applyAlignment="1">
      <alignment horizontal="right"/>
    </xf>
    <xf numFmtId="0" fontId="123" fillId="8" borderId="2" xfId="0" applyFont="1" applyFill="1" applyBorder="1"/>
    <xf numFmtId="190" fontId="131" fillId="0" borderId="2" xfId="0" applyNumberFormat="1" applyFont="1" applyBorder="1" applyAlignment="1">
      <alignment horizontal="right" vertical="top"/>
    </xf>
    <xf numFmtId="190" fontId="131" fillId="0" borderId="3" xfId="0" applyNumberFormat="1" applyFont="1" applyBorder="1" applyAlignment="1">
      <alignment horizontal="right" vertical="top"/>
    </xf>
    <xf numFmtId="0" fontId="117" fillId="20" borderId="0" xfId="0" applyFont="1" applyFill="1"/>
    <xf numFmtId="0" fontId="117" fillId="20" borderId="0" xfId="0" applyFont="1" applyFill="1" applyAlignment="1">
      <alignment horizontal="right"/>
    </xf>
    <xf numFmtId="0" fontId="131" fillId="24" borderId="2" xfId="17" applyFont="1" applyFill="1" applyBorder="1" applyAlignment="1">
      <alignment horizontal="left" vertical="top"/>
    </xf>
    <xf numFmtId="0" fontId="123" fillId="0" borderId="0" xfId="0" applyFont="1" applyAlignment="1">
      <alignment vertical="top"/>
    </xf>
    <xf numFmtId="0" fontId="132" fillId="0" borderId="0" xfId="0" applyFont="1"/>
    <xf numFmtId="166" fontId="99" fillId="0" borderId="24" xfId="0" applyNumberFormat="1" applyFont="1" applyBorder="1" applyAlignment="1">
      <alignment horizontal="right" vertical="top" wrapText="1"/>
    </xf>
    <xf numFmtId="172" fontId="132" fillId="0" borderId="24" xfId="0" applyNumberFormat="1" applyFont="1" applyBorder="1"/>
    <xf numFmtId="0" fontId="133" fillId="12" borderId="0" xfId="27" applyFont="1"/>
    <xf numFmtId="0" fontId="130" fillId="0" borderId="0" xfId="0" applyFont="1" applyAlignment="1">
      <alignment vertical="top"/>
    </xf>
    <xf numFmtId="172" fontId="118" fillId="0" borderId="0" xfId="0" applyNumberFormat="1" applyFont="1"/>
    <xf numFmtId="0" fontId="130" fillId="0" borderId="0" xfId="0" applyFont="1" applyAlignment="1">
      <alignment horizontal="left" vertical="top"/>
    </xf>
    <xf numFmtId="172" fontId="118" fillId="0" borderId="0" xfId="24" applyNumberFormat="1" applyFont="1"/>
    <xf numFmtId="0" fontId="124" fillId="0" borderId="0" xfId="0" applyFont="1" applyAlignment="1">
      <alignment horizontal="left" indent="1"/>
    </xf>
    <xf numFmtId="0" fontId="131" fillId="0" borderId="14" xfId="17" applyFont="1" applyBorder="1" applyAlignment="1">
      <alignment horizontal="left" vertical="top"/>
    </xf>
    <xf numFmtId="0" fontId="118" fillId="0" borderId="15" xfId="0" applyFont="1" applyBorder="1"/>
    <xf numFmtId="166" fontId="99" fillId="0" borderId="15" xfId="0" applyNumberFormat="1" applyFont="1" applyBorder="1"/>
    <xf numFmtId="172" fontId="132" fillId="0" borderId="15" xfId="0" applyNumberFormat="1" applyFont="1" applyBorder="1"/>
    <xf numFmtId="0" fontId="129" fillId="0" borderId="0" xfId="17" applyFont="1" applyAlignment="1">
      <alignment horizontal="left" vertical="top"/>
    </xf>
    <xf numFmtId="0" fontId="118" fillId="24" borderId="2" xfId="0" applyFont="1" applyFill="1" applyBorder="1"/>
    <xf numFmtId="190" fontId="118" fillId="0" borderId="0" xfId="0" applyNumberFormat="1" applyFont="1"/>
    <xf numFmtId="172" fontId="99" fillId="0" borderId="15" xfId="0" applyNumberFormat="1" applyFont="1" applyBorder="1"/>
    <xf numFmtId="190" fontId="132" fillId="0" borderId="15" xfId="0" applyNumberFormat="1" applyFont="1" applyBorder="1"/>
    <xf numFmtId="190" fontId="132" fillId="0" borderId="18" xfId="0" applyNumberFormat="1" applyFont="1" applyBorder="1"/>
    <xf numFmtId="0" fontId="129" fillId="0" borderId="0" xfId="17" applyFont="1" applyAlignment="1">
      <alignment horizontal="left" vertical="top" indent="1"/>
    </xf>
    <xf numFmtId="172" fontId="126" fillId="0" borderId="0" xfId="0" applyNumberFormat="1" applyFont="1"/>
    <xf numFmtId="172" fontId="133" fillId="12" borderId="0" xfId="27" applyNumberFormat="1" applyFont="1"/>
    <xf numFmtId="0" fontId="118" fillId="24" borderId="24" xfId="0" applyFont="1" applyFill="1" applyBorder="1"/>
    <xf numFmtId="0" fontId="129" fillId="0" borderId="3" xfId="17" applyFont="1" applyBorder="1" applyAlignment="1">
      <alignment horizontal="left" vertical="top" indent="1"/>
    </xf>
    <xf numFmtId="0" fontId="118" fillId="0" borderId="3" xfId="0" applyFont="1" applyBorder="1"/>
    <xf numFmtId="166" fontId="67" fillId="0" borderId="2" xfId="0" applyNumberFormat="1" applyFont="1" applyBorder="1" applyAlignment="1">
      <alignment horizontal="right" vertical="top" wrapText="1"/>
    </xf>
    <xf numFmtId="0" fontId="131" fillId="0" borderId="0" xfId="17" applyFont="1" applyAlignment="1">
      <alignment horizontal="left" vertical="top"/>
    </xf>
    <xf numFmtId="0" fontId="134" fillId="0" borderId="3" xfId="0" applyFont="1" applyBorder="1"/>
    <xf numFmtId="190" fontId="118" fillId="0" borderId="3" xfId="0" applyNumberFormat="1" applyFont="1" applyBorder="1"/>
    <xf numFmtId="190" fontId="132" fillId="0" borderId="0" xfId="0" applyNumberFormat="1" applyFont="1"/>
    <xf numFmtId="0" fontId="67" fillId="0" borderId="0" xfId="14" applyFont="1"/>
    <xf numFmtId="191" fontId="36" fillId="6" borderId="24" xfId="0" applyNumberFormat="1" applyFont="1" applyFill="1" applyBorder="1"/>
    <xf numFmtId="0" fontId="77" fillId="6" borderId="2" xfId="24" applyFont="1" applyFill="1" applyBorder="1"/>
    <xf numFmtId="0" fontId="135" fillId="6" borderId="2" xfId="24" applyFont="1" applyFill="1" applyBorder="1"/>
    <xf numFmtId="0" fontId="136" fillId="6" borderId="2" xfId="0" applyFont="1" applyFill="1" applyBorder="1" applyAlignment="1">
      <alignment horizontal="right"/>
    </xf>
    <xf numFmtId="168" fontId="137" fillId="6" borderId="2" xfId="24" applyNumberFormat="1" applyFont="1" applyFill="1" applyBorder="1"/>
    <xf numFmtId="0" fontId="138" fillId="0" borderId="0" xfId="43" applyFont="1"/>
    <xf numFmtId="0" fontId="98" fillId="0" borderId="0" xfId="43"/>
    <xf numFmtId="0" fontId="139" fillId="0" borderId="0" xfId="43" applyFont="1"/>
    <xf numFmtId="0" fontId="140" fillId="0" borderId="0" xfId="43" applyFont="1"/>
    <xf numFmtId="0" fontId="141" fillId="0" borderId="0" xfId="43" applyFont="1"/>
    <xf numFmtId="0" fontId="141" fillId="26" borderId="28" xfId="43" applyFont="1" applyFill="1" applyBorder="1"/>
    <xf numFmtId="0" fontId="141" fillId="26" borderId="8" xfId="43" applyFont="1" applyFill="1" applyBorder="1" applyAlignment="1">
      <alignment horizontal="center"/>
    </xf>
    <xf numFmtId="194" fontId="141" fillId="26" borderId="29" xfId="40" applyNumberFormat="1" applyFont="1" applyFill="1" applyBorder="1"/>
    <xf numFmtId="194" fontId="141" fillId="26" borderId="28" xfId="40" applyNumberFormat="1" applyFont="1" applyFill="1" applyBorder="1"/>
    <xf numFmtId="10" fontId="141" fillId="26" borderId="28" xfId="43" applyNumberFormat="1" applyFont="1" applyFill="1" applyBorder="1"/>
    <xf numFmtId="0" fontId="142" fillId="0" borderId="0" xfId="43" applyFont="1"/>
    <xf numFmtId="2" fontId="142" fillId="0" borderId="28" xfId="43" applyNumberFormat="1" applyFont="1" applyBorder="1" applyAlignment="1">
      <alignment horizontal="center"/>
    </xf>
    <xf numFmtId="0" fontId="143" fillId="0" borderId="29" xfId="43" applyFont="1" applyBorder="1" applyAlignment="1">
      <alignment horizontal="center"/>
    </xf>
    <xf numFmtId="0" fontId="144" fillId="0" borderId="0" xfId="43" applyFont="1"/>
    <xf numFmtId="10" fontId="142" fillId="0" borderId="28" xfId="44" applyNumberFormat="1" applyFont="1" applyBorder="1" applyAlignment="1">
      <alignment horizontal="center"/>
    </xf>
    <xf numFmtId="10" fontId="142" fillId="0" borderId="28" xfId="43" applyNumberFormat="1" applyFont="1" applyBorder="1" applyAlignment="1">
      <alignment horizontal="center"/>
    </xf>
    <xf numFmtId="10" fontId="142" fillId="0" borderId="0" xfId="43" applyNumberFormat="1" applyFont="1" applyAlignment="1">
      <alignment horizontal="center"/>
    </xf>
    <xf numFmtId="0" fontId="145" fillId="0" borderId="0" xfId="43" applyFont="1"/>
    <xf numFmtId="10" fontId="146" fillId="0" borderId="0" xfId="43" applyNumberFormat="1" applyFont="1" applyAlignment="1">
      <alignment horizontal="center"/>
    </xf>
    <xf numFmtId="0" fontId="147" fillId="0" borderId="8" xfId="43" applyFont="1" applyBorder="1" applyAlignment="1">
      <alignment horizontal="centerContinuous"/>
    </xf>
    <xf numFmtId="0" fontId="147" fillId="0" borderId="8" xfId="43" applyFont="1" applyBorder="1"/>
    <xf numFmtId="0" fontId="141" fillId="0" borderId="0" xfId="43" applyFont="1" applyAlignment="1">
      <alignment horizontal="centerContinuous"/>
    </xf>
    <xf numFmtId="0" fontId="147" fillId="0" borderId="8" xfId="43" applyFont="1" applyBorder="1" applyAlignment="1">
      <alignment horizontal="center"/>
    </xf>
    <xf numFmtId="0" fontId="141" fillId="0" borderId="8" xfId="43" applyFont="1" applyBorder="1" applyAlignment="1">
      <alignment horizontal="center"/>
    </xf>
    <xf numFmtId="0" fontId="148" fillId="0" borderId="8" xfId="43" applyFont="1" applyBorder="1" applyAlignment="1">
      <alignment horizontal="center"/>
    </xf>
    <xf numFmtId="10" fontId="41" fillId="0" borderId="7" xfId="44" applyNumberFormat="1" applyFont="1" applyBorder="1" applyAlignment="1">
      <alignment horizontal="center"/>
    </xf>
    <xf numFmtId="0" fontId="41" fillId="0" borderId="8" xfId="43" applyFont="1" applyBorder="1" applyAlignment="1">
      <alignment horizontal="center"/>
    </xf>
    <xf numFmtId="2" fontId="148" fillId="0" borderId="8" xfId="43" applyNumberFormat="1" applyFont="1" applyBorder="1" applyAlignment="1">
      <alignment horizontal="center"/>
    </xf>
    <xf numFmtId="0" fontId="98" fillId="0" borderId="0" xfId="43" applyAlignment="1">
      <alignment horizontal="center"/>
    </xf>
    <xf numFmtId="0" fontId="142" fillId="0" borderId="0" xfId="43" applyFont="1" applyAlignment="1">
      <alignment horizontal="center"/>
    </xf>
    <xf numFmtId="0" fontId="72" fillId="6" borderId="0" xfId="0" applyFont="1" applyFill="1" applyAlignment="1">
      <alignment horizontal="right"/>
    </xf>
    <xf numFmtId="0" fontId="35" fillId="6" borderId="22" xfId="0" applyFont="1" applyFill="1" applyBorder="1"/>
    <xf numFmtId="0" fontId="35" fillId="6" borderId="23" xfId="0" applyFont="1" applyFill="1" applyBorder="1"/>
    <xf numFmtId="0" fontId="35" fillId="6" borderId="4" xfId="0" applyFont="1" applyFill="1" applyBorder="1"/>
    <xf numFmtId="0" fontId="35" fillId="6" borderId="5" xfId="0" applyFont="1" applyFill="1" applyBorder="1"/>
    <xf numFmtId="0" fontId="35" fillId="6" borderId="6" xfId="0" applyFont="1" applyFill="1" applyBorder="1"/>
    <xf numFmtId="191" fontId="35" fillId="6" borderId="0" xfId="46" applyNumberFormat="1" applyFont="1" applyFill="1" applyBorder="1"/>
    <xf numFmtId="195" fontId="35" fillId="6" borderId="0" xfId="0" applyNumberFormat="1" applyFont="1" applyFill="1"/>
    <xf numFmtId="191" fontId="35" fillId="6" borderId="0" xfId="46" applyNumberFormat="1" applyFont="1" applyFill="1"/>
    <xf numFmtId="0" fontId="19" fillId="0" borderId="4" xfId="0" applyFont="1" applyBorder="1"/>
    <xf numFmtId="196" fontId="72" fillId="6" borderId="0" xfId="0" applyNumberFormat="1" applyFont="1" applyFill="1"/>
    <xf numFmtId="196" fontId="36" fillId="6" borderId="0" xfId="0" applyNumberFormat="1" applyFont="1" applyFill="1"/>
    <xf numFmtId="196" fontId="35" fillId="6" borderId="0" xfId="0" applyNumberFormat="1" applyFont="1" applyFill="1"/>
    <xf numFmtId="14" fontId="35" fillId="6" borderId="0" xfId="0" applyNumberFormat="1" applyFont="1" applyFill="1"/>
    <xf numFmtId="197" fontId="35" fillId="6" borderId="3" xfId="0" applyNumberFormat="1" applyFont="1" applyFill="1" applyBorder="1"/>
    <xf numFmtId="0" fontId="32" fillId="0" borderId="0" xfId="0" applyFont="1"/>
    <xf numFmtId="0" fontId="30" fillId="27" borderId="0" xfId="0" applyFont="1" applyFill="1"/>
    <xf numFmtId="0" fontId="32" fillId="27" borderId="0" xfId="0" applyFont="1" applyFill="1"/>
    <xf numFmtId="171" fontId="35" fillId="27" borderId="0" xfId="0" applyNumberFormat="1" applyFont="1" applyFill="1"/>
    <xf numFmtId="171" fontId="36" fillId="27" borderId="0" xfId="0" applyNumberFormat="1" applyFont="1" applyFill="1"/>
    <xf numFmtId="171" fontId="32" fillId="27" borderId="0" xfId="0" applyNumberFormat="1" applyFont="1" applyFill="1"/>
    <xf numFmtId="0" fontId="43" fillId="6" borderId="0" xfId="0" applyFont="1" applyFill="1"/>
    <xf numFmtId="0" fontId="30" fillId="0" borderId="0" xfId="0" applyFont="1"/>
    <xf numFmtId="191" fontId="35" fillId="0" borderId="0" xfId="0" applyNumberFormat="1" applyFont="1"/>
    <xf numFmtId="191" fontId="32" fillId="0" borderId="0" xfId="0" applyNumberFormat="1" applyFont="1"/>
    <xf numFmtId="191" fontId="37" fillId="0" borderId="0" xfId="0" applyNumberFormat="1" applyFont="1"/>
    <xf numFmtId="191" fontId="72" fillId="0" borderId="0" xfId="0" applyNumberFormat="1" applyFont="1"/>
    <xf numFmtId="192" fontId="30" fillId="21" borderId="0" xfId="0" applyNumberFormat="1" applyFont="1" applyFill="1"/>
    <xf numFmtId="191" fontId="72" fillId="6" borderId="0" xfId="46" applyNumberFormat="1" applyFont="1" applyFill="1"/>
    <xf numFmtId="191" fontId="36" fillId="6" borderId="0" xfId="46" applyNumberFormat="1" applyFont="1" applyFill="1"/>
    <xf numFmtId="193" fontId="36" fillId="6" borderId="0" xfId="46" applyNumberFormat="1" applyFont="1" applyFill="1"/>
    <xf numFmtId="10" fontId="35" fillId="6" borderId="0" xfId="0" applyNumberFormat="1" applyFont="1" applyFill="1"/>
    <xf numFmtId="199" fontId="35" fillId="6" borderId="0" xfId="0" applyNumberFormat="1" applyFont="1" applyFill="1"/>
    <xf numFmtId="0" fontId="35" fillId="6" borderId="0" xfId="0" applyFont="1" applyFill="1" applyAlignment="1">
      <alignment horizontal="center" wrapText="1"/>
    </xf>
    <xf numFmtId="0" fontId="35" fillId="21" borderId="0" xfId="0" applyFont="1" applyFill="1"/>
    <xf numFmtId="0" fontId="0" fillId="6" borderId="0" xfId="0" applyFill="1"/>
    <xf numFmtId="0" fontId="150" fillId="21" borderId="0" xfId="47" applyFont="1" applyFill="1" applyAlignment="1">
      <alignment horizontal="left"/>
    </xf>
    <xf numFmtId="0" fontId="150" fillId="21" borderId="0" xfId="38" applyFont="1" applyFill="1" applyAlignment="1">
      <alignment horizontal="left"/>
    </xf>
    <xf numFmtId="0" fontId="150" fillId="21" borderId="0" xfId="47" applyFont="1" applyFill="1" applyAlignment="1">
      <alignment horizontal="center" wrapText="1"/>
    </xf>
    <xf numFmtId="0" fontId="19" fillId="6" borderId="0" xfId="0" applyFont="1" applyFill="1"/>
    <xf numFmtId="200" fontId="151" fillId="6" borderId="0" xfId="0" applyNumberFormat="1" applyFont="1" applyFill="1" applyAlignment="1">
      <alignment horizontal="right"/>
    </xf>
    <xf numFmtId="37" fontId="149" fillId="6" borderId="0" xfId="38" applyNumberFormat="1" applyFont="1" applyFill="1" applyAlignment="1">
      <alignment vertical="center"/>
    </xf>
    <xf numFmtId="37" fontId="153" fillId="6" borderId="0" xfId="38" applyNumberFormat="1" applyFont="1" applyFill="1" applyAlignment="1">
      <alignment vertical="center"/>
    </xf>
    <xf numFmtId="37" fontId="154" fillId="6" borderId="0" xfId="38" applyNumberFormat="1" applyFont="1" applyFill="1" applyAlignment="1">
      <alignment horizontal="center" vertical="center"/>
    </xf>
    <xf numFmtId="37" fontId="154" fillId="6" borderId="0" xfId="38" applyNumberFormat="1" applyFont="1" applyFill="1" applyAlignment="1">
      <alignment vertical="center"/>
    </xf>
    <xf numFmtId="188" fontId="154" fillId="6" borderId="0" xfId="38" applyNumberFormat="1" applyFont="1" applyFill="1" applyAlignment="1">
      <alignment vertical="center"/>
    </xf>
    <xf numFmtId="2" fontId="154" fillId="6" borderId="0" xfId="38" applyNumberFormat="1" applyFont="1" applyFill="1"/>
    <xf numFmtId="173" fontId="155" fillId="6" borderId="0" xfId="16" applyNumberFormat="1" applyFont="1" applyFill="1"/>
    <xf numFmtId="173" fontId="154" fillId="28" borderId="0" xfId="16" applyNumberFormat="1" applyFont="1" applyFill="1"/>
    <xf numFmtId="2" fontId="155" fillId="6" borderId="0" xfId="38" applyNumberFormat="1" applyFont="1" applyFill="1"/>
    <xf numFmtId="201" fontId="154" fillId="6" borderId="0" xfId="38" applyNumberFormat="1" applyFont="1" applyFill="1"/>
    <xf numFmtId="202" fontId="149" fillId="16" borderId="0" xfId="0" applyNumberFormat="1" applyFont="1" applyFill="1" applyAlignment="1">
      <alignment horizontal="right"/>
    </xf>
    <xf numFmtId="202" fontId="154" fillId="6" borderId="0" xfId="38" applyNumberFormat="1" applyFont="1" applyFill="1"/>
    <xf numFmtId="202" fontId="154" fillId="6" borderId="0" xfId="0" applyNumberFormat="1" applyFont="1" applyFill="1" applyAlignment="1">
      <alignment horizontal="right"/>
    </xf>
    <xf numFmtId="203" fontId="149" fillId="16" borderId="0" xfId="38" applyNumberFormat="1" applyFont="1" applyFill="1" applyAlignment="1">
      <alignment horizontal="right" vertical="center"/>
    </xf>
    <xf numFmtId="0" fontId="152" fillId="6" borderId="0" xfId="38" applyFont="1" applyFill="1"/>
    <xf numFmtId="203" fontId="152" fillId="6" borderId="0" xfId="38" applyNumberFormat="1" applyFont="1" applyFill="1" applyAlignment="1">
      <alignment horizontal="right" vertical="center"/>
    </xf>
    <xf numFmtId="0" fontId="156" fillId="6" borderId="0" xfId="38" applyFont="1" applyFill="1"/>
    <xf numFmtId="0" fontId="149" fillId="6" borderId="24" xfId="38" applyFont="1" applyFill="1" applyBorder="1" applyAlignment="1">
      <alignment horizontal="left" vertical="center" indent="1"/>
    </xf>
    <xf numFmtId="0" fontId="154" fillId="6" borderId="24" xfId="38" applyFont="1" applyFill="1" applyBorder="1" applyAlignment="1">
      <alignment horizontal="left" vertical="center" indent="1"/>
    </xf>
    <xf numFmtId="188" fontId="155" fillId="6" borderId="24" xfId="38" applyNumberFormat="1" applyFont="1" applyFill="1" applyBorder="1" applyAlignment="1">
      <alignment vertical="center"/>
    </xf>
    <xf numFmtId="201" fontId="149" fillId="6" borderId="0" xfId="38" applyNumberFormat="1" applyFont="1" applyFill="1" applyAlignment="1">
      <alignment horizontal="right" vertical="center"/>
    </xf>
    <xf numFmtId="202" fontId="149" fillId="6" borderId="0" xfId="0" applyNumberFormat="1" applyFont="1" applyFill="1" applyAlignment="1">
      <alignment horizontal="right"/>
    </xf>
    <xf numFmtId="203" fontId="149" fillId="6" borderId="0" xfId="0" applyNumberFormat="1" applyFont="1" applyFill="1" applyAlignment="1">
      <alignment horizontal="right"/>
    </xf>
    <xf numFmtId="0" fontId="149" fillId="6" borderId="3" xfId="38" applyFont="1" applyFill="1" applyBorder="1" applyAlignment="1">
      <alignment horizontal="left" vertical="center" indent="1"/>
    </xf>
    <xf numFmtId="188" fontId="155" fillId="6" borderId="3" xfId="38" applyNumberFormat="1" applyFont="1" applyFill="1" applyBorder="1" applyAlignment="1">
      <alignment vertical="center"/>
    </xf>
    <xf numFmtId="2" fontId="0" fillId="6" borderId="0" xfId="0" applyNumberFormat="1" applyFill="1"/>
    <xf numFmtId="2" fontId="157" fillId="6" borderId="0" xfId="0" applyNumberFormat="1" applyFont="1" applyFill="1"/>
    <xf numFmtId="0" fontId="157" fillId="6" borderId="0" xfId="0" applyFont="1" applyFill="1"/>
    <xf numFmtId="0" fontId="34" fillId="6" borderId="0" xfId="0" applyFont="1" applyFill="1"/>
    <xf numFmtId="0" fontId="34" fillId="6" borderId="0" xfId="0" applyFont="1" applyFill="1" applyAlignment="1">
      <alignment horizontal="centerContinuous" vertical="center"/>
    </xf>
    <xf numFmtId="0" fontId="34" fillId="6" borderId="0" xfId="0" applyFont="1" applyFill="1" applyAlignment="1">
      <alignment horizontal="centerContinuous"/>
    </xf>
    <xf numFmtId="204" fontId="63" fillId="6" borderId="0" xfId="16" applyNumberFormat="1" applyFont="1" applyFill="1" applyBorder="1" applyAlignment="1">
      <alignment horizontal="right" vertical="center"/>
    </xf>
    <xf numFmtId="205" fontId="34" fillId="29" borderId="30" xfId="29" applyNumberFormat="1" applyFont="1" applyFill="1" applyBorder="1" applyAlignment="1">
      <alignment vertical="center"/>
    </xf>
    <xf numFmtId="205" fontId="34" fillId="29" borderId="31" xfId="29" applyNumberFormat="1" applyFont="1" applyFill="1" applyBorder="1" applyAlignment="1">
      <alignment vertical="center"/>
    </xf>
    <xf numFmtId="205" fontId="34" fillId="29" borderId="32" xfId="29" applyNumberFormat="1" applyFont="1" applyFill="1" applyBorder="1" applyAlignment="1">
      <alignment vertical="center"/>
    </xf>
    <xf numFmtId="205" fontId="34" fillId="29" borderId="33" xfId="29" applyNumberFormat="1" applyFont="1" applyFill="1" applyBorder="1" applyAlignment="1">
      <alignment vertical="center"/>
    </xf>
    <xf numFmtId="205" fontId="34" fillId="29" borderId="0" xfId="29" applyNumberFormat="1" applyFont="1" applyFill="1" applyAlignment="1">
      <alignment vertical="center"/>
    </xf>
    <xf numFmtId="205" fontId="34" fillId="29" borderId="34" xfId="29" applyNumberFormat="1" applyFont="1" applyFill="1" applyBorder="1" applyAlignment="1">
      <alignment vertical="center"/>
    </xf>
    <xf numFmtId="205" fontId="38" fillId="29" borderId="35" xfId="29" applyNumberFormat="1" applyFont="1" applyFill="1" applyBorder="1" applyAlignment="1">
      <alignment vertical="center"/>
    </xf>
    <xf numFmtId="205" fontId="34" fillId="29" borderId="36" xfId="29" applyNumberFormat="1" applyFont="1" applyFill="1" applyBorder="1" applyAlignment="1">
      <alignment vertical="center"/>
    </xf>
    <xf numFmtId="205" fontId="34" fillId="29" borderId="37" xfId="29" applyNumberFormat="1" applyFont="1" applyFill="1" applyBorder="1" applyAlignment="1">
      <alignment vertical="center"/>
    </xf>
    <xf numFmtId="205" fontId="34" fillId="29" borderId="38" xfId="29" applyNumberFormat="1" applyFont="1" applyFill="1" applyBorder="1" applyAlignment="1">
      <alignment vertical="center"/>
    </xf>
    <xf numFmtId="206" fontId="30" fillId="21" borderId="0" xfId="0" applyNumberFormat="1" applyFont="1" applyFill="1"/>
    <xf numFmtId="2" fontId="72" fillId="6" borderId="0" xfId="0" applyNumberFormat="1" applyFont="1" applyFill="1"/>
    <xf numFmtId="0" fontId="65" fillId="0" borderId="16" xfId="0" applyFont="1" applyBorder="1"/>
    <xf numFmtId="170" fontId="30" fillId="0" borderId="0" xfId="0" applyNumberFormat="1" applyFont="1"/>
    <xf numFmtId="0" fontId="30" fillId="6" borderId="0" xfId="0" applyFont="1" applyFill="1"/>
    <xf numFmtId="173" fontId="155" fillId="6" borderId="24" xfId="16" applyNumberFormat="1" applyFont="1" applyFill="1" applyBorder="1" applyAlignment="1">
      <alignment vertical="center"/>
    </xf>
    <xf numFmtId="0" fontId="149" fillId="6" borderId="22" xfId="38" applyFont="1" applyFill="1" applyBorder="1" applyAlignment="1">
      <alignment horizontal="left" vertical="center" indent="1"/>
    </xf>
    <xf numFmtId="0" fontId="149" fillId="6" borderId="6" xfId="38" applyFont="1" applyFill="1" applyBorder="1" applyAlignment="1">
      <alignment horizontal="left" vertical="center" indent="1"/>
    </xf>
    <xf numFmtId="2" fontId="152" fillId="6" borderId="3" xfId="38" applyNumberFormat="1" applyFont="1" applyFill="1" applyBorder="1"/>
    <xf numFmtId="173" fontId="152" fillId="6" borderId="3" xfId="16" applyNumberFormat="1" applyFont="1" applyFill="1" applyBorder="1"/>
    <xf numFmtId="2" fontId="152" fillId="6" borderId="7" xfId="38" applyNumberFormat="1" applyFont="1" applyFill="1" applyBorder="1"/>
    <xf numFmtId="39" fontId="155" fillId="6" borderId="23" xfId="38" applyNumberFormat="1" applyFont="1" applyFill="1" applyBorder="1" applyAlignment="1">
      <alignment vertical="center"/>
    </xf>
    <xf numFmtId="0" fontId="159" fillId="0" borderId="0" xfId="0" applyFont="1"/>
    <xf numFmtId="14" fontId="159" fillId="0" borderId="0" xfId="0" applyNumberFormat="1" applyFont="1"/>
    <xf numFmtId="0" fontId="158" fillId="0" borderId="0" xfId="0" applyFont="1"/>
    <xf numFmtId="3" fontId="158" fillId="0" borderId="0" xfId="0" applyNumberFormat="1" applyFont="1"/>
    <xf numFmtId="171" fontId="1" fillId="6" borderId="0" xfId="0" applyNumberFormat="1" applyFont="1" applyFill="1"/>
    <xf numFmtId="171" fontId="1" fillId="0" borderId="0" xfId="0" applyNumberFormat="1" applyFont="1"/>
    <xf numFmtId="171" fontId="1" fillId="27" borderId="0" xfId="0" applyNumberFormat="1" applyFont="1" applyFill="1"/>
    <xf numFmtId="191" fontId="1" fillId="0" borderId="0" xfId="0" applyNumberFormat="1" applyFont="1"/>
    <xf numFmtId="198" fontId="1" fillId="0" borderId="0" xfId="0" applyNumberFormat="1" applyFont="1"/>
    <xf numFmtId="0" fontId="1" fillId="6" borderId="0" xfId="0" applyFont="1" applyFill="1"/>
    <xf numFmtId="171" fontId="1" fillId="7" borderId="10" xfId="0" applyNumberFormat="1" applyFont="1" applyFill="1" applyBorder="1"/>
    <xf numFmtId="171" fontId="1" fillId="7" borderId="8" xfId="0" applyNumberFormat="1" applyFont="1" applyFill="1" applyBorder="1"/>
    <xf numFmtId="0" fontId="1" fillId="0" borderId="0" xfId="23" applyFont="1" applyAlignment="1">
      <alignment horizontal="left" indent="1"/>
    </xf>
    <xf numFmtId="0" fontId="1" fillId="0" borderId="0" xfId="23" applyFont="1"/>
    <xf numFmtId="0" fontId="1" fillId="0" borderId="0" xfId="23" applyFont="1" applyAlignment="1">
      <alignment horizontal="center"/>
    </xf>
    <xf numFmtId="0" fontId="1" fillId="0" borderId="0" xfId="24" applyFont="1" applyAlignment="1">
      <alignment horizontal="left" indent="1"/>
    </xf>
    <xf numFmtId="0" fontId="1" fillId="0" borderId="0" xfId="24" applyFont="1"/>
    <xf numFmtId="0" fontId="1" fillId="0" borderId="0" xfId="24" applyFont="1" applyAlignment="1">
      <alignment horizontal="center"/>
    </xf>
    <xf numFmtId="0" fontId="1" fillId="0" borderId="0" xfId="0" applyFont="1" applyAlignment="1">
      <alignment horizontal="left" indent="1"/>
    </xf>
    <xf numFmtId="0" fontId="1" fillId="0" borderId="0" xfId="0" applyFont="1"/>
    <xf numFmtId="165" fontId="1" fillId="0" borderId="0" xfId="0" applyNumberFormat="1" applyFont="1"/>
    <xf numFmtId="172" fontId="1" fillId="0" borderId="0" xfId="24" applyNumberFormat="1" applyFont="1"/>
    <xf numFmtId="171" fontId="1" fillId="0" borderId="0" xfId="23" applyNumberFormat="1" applyFont="1" applyAlignment="1">
      <alignment horizontal="left" indent="1"/>
    </xf>
    <xf numFmtId="171" fontId="1" fillId="0" borderId="24" xfId="16" applyNumberFormat="1" applyFont="1" applyBorder="1" applyAlignment="1">
      <alignment horizontal="center"/>
    </xf>
    <xf numFmtId="0" fontId="1" fillId="0" borderId="24" xfId="23" applyFont="1" applyBorder="1" applyAlignment="1">
      <alignment horizontal="center"/>
    </xf>
    <xf numFmtId="0" fontId="1" fillId="15" borderId="24" xfId="23" applyFont="1" applyFill="1" applyBorder="1"/>
    <xf numFmtId="0" fontId="1" fillId="15" borderId="0" xfId="23" applyFont="1" applyFill="1"/>
    <xf numFmtId="0" fontId="1" fillId="0" borderId="3" xfId="23" applyFont="1" applyBorder="1" applyAlignment="1">
      <alignment horizontal="center"/>
    </xf>
    <xf numFmtId="0" fontId="1" fillId="15" borderId="3" xfId="23" applyFont="1" applyFill="1" applyBorder="1"/>
    <xf numFmtId="184" fontId="1" fillId="0" borderId="0" xfId="30" applyNumberFormat="1" applyFont="1" applyAlignment="1">
      <alignment horizontal="left" indent="1"/>
    </xf>
    <xf numFmtId="37" fontId="1" fillId="0" borderId="0" xfId="23" applyNumberFormat="1" applyFont="1" applyAlignment="1">
      <alignment horizontal="center"/>
    </xf>
    <xf numFmtId="3" fontId="1" fillId="0" borderId="0" xfId="23" applyNumberFormat="1" applyFont="1"/>
    <xf numFmtId="185" fontId="1" fillId="0" borderId="0" xfId="23" applyNumberFormat="1" applyFont="1"/>
    <xf numFmtId="172" fontId="1" fillId="0" borderId="0" xfId="23" applyNumberFormat="1" applyFont="1"/>
    <xf numFmtId="171" fontId="1" fillId="0" borderId="0" xfId="23" applyNumberFormat="1" applyFont="1"/>
    <xf numFmtId="171" fontId="1" fillId="0" borderId="0" xfId="23" applyNumberFormat="1" applyFont="1" applyAlignment="1">
      <alignment horizontal="center"/>
    </xf>
    <xf numFmtId="165" fontId="1" fillId="0" borderId="0" xfId="23" applyNumberFormat="1" applyFont="1"/>
    <xf numFmtId="0" fontId="1" fillId="15" borderId="7" xfId="23" applyFont="1" applyFill="1" applyBorder="1"/>
    <xf numFmtId="0" fontId="1" fillId="0" borderId="0" xfId="23" applyFont="1" applyAlignment="1">
      <alignment horizontal="right"/>
    </xf>
    <xf numFmtId="165" fontId="1" fillId="0" borderId="0" xfId="23" applyNumberFormat="1" applyFont="1" applyAlignment="1">
      <alignment horizontal="right"/>
    </xf>
    <xf numFmtId="179" fontId="1" fillId="0" borderId="0" xfId="23" applyNumberFormat="1" applyFont="1" applyAlignment="1">
      <alignment horizontal="right"/>
    </xf>
    <xf numFmtId="172" fontId="1" fillId="0" borderId="0" xfId="0" applyNumberFormat="1" applyFont="1"/>
    <xf numFmtId="0" fontId="1" fillId="0" borderId="2" xfId="0" applyFont="1" applyBorder="1"/>
    <xf numFmtId="185" fontId="1" fillId="0" borderId="2" xfId="0" applyNumberFormat="1" applyFont="1" applyBorder="1"/>
    <xf numFmtId="185" fontId="1" fillId="0" borderId="0" xfId="0" applyNumberFormat="1" applyFont="1"/>
    <xf numFmtId="0" fontId="1" fillId="15" borderId="2" xfId="0" applyFont="1" applyFill="1" applyBorder="1"/>
    <xf numFmtId="0" fontId="1" fillId="15" borderId="0" xfId="0" applyFont="1" applyFill="1"/>
    <xf numFmtId="168" fontId="1" fillId="0" borderId="0" xfId="0" applyNumberFormat="1" applyFont="1"/>
    <xf numFmtId="180" fontId="1" fillId="0" borderId="0" xfId="0" applyNumberFormat="1" applyFont="1"/>
    <xf numFmtId="172" fontId="1" fillId="11" borderId="8" xfId="0" applyNumberFormat="1" applyFont="1" applyFill="1" applyBorder="1" applyAlignment="1">
      <alignment horizontal="center" vertical="top" wrapText="1"/>
    </xf>
    <xf numFmtId="172" fontId="1" fillId="15" borderId="0" xfId="0" applyNumberFormat="1" applyFont="1" applyFill="1"/>
    <xf numFmtId="172" fontId="1" fillId="0" borderId="0" xfId="25" applyNumberFormat="1" applyFont="1" applyBorder="1"/>
    <xf numFmtId="0" fontId="1" fillId="0" borderId="24" xfId="0" applyFont="1" applyBorder="1"/>
    <xf numFmtId="189" fontId="1" fillId="0" borderId="0" xfId="25" applyNumberFormat="1" applyFont="1" applyFill="1" applyBorder="1"/>
    <xf numFmtId="172" fontId="1" fillId="11" borderId="8" xfId="25" applyNumberFormat="1" applyFont="1" applyFill="1" applyBorder="1"/>
    <xf numFmtId="172" fontId="1" fillId="0" borderId="3" xfId="0" applyNumberFormat="1" applyFont="1" applyBorder="1"/>
    <xf numFmtId="0" fontId="1" fillId="6" borderId="0" xfId="23" applyFont="1" applyFill="1" applyAlignment="1">
      <alignment horizontal="left" indent="1"/>
    </xf>
    <xf numFmtId="172" fontId="1" fillId="6" borderId="0" xfId="26" applyNumberFormat="1" applyFont="1" applyFill="1"/>
    <xf numFmtId="172" fontId="1" fillId="6" borderId="2" xfId="0" applyNumberFormat="1" applyFont="1" applyFill="1" applyBorder="1"/>
    <xf numFmtId="197" fontId="35" fillId="6" borderId="7" xfId="0" applyNumberFormat="1" applyFont="1" applyFill="1" applyBorder="1"/>
    <xf numFmtId="188" fontId="154" fillId="6" borderId="0" xfId="38" applyNumberFormat="1" applyFont="1" applyFill="1" applyAlignment="1">
      <alignment horizontal="right" vertical="center"/>
    </xf>
    <xf numFmtId="197" fontId="35" fillId="6" borderId="0" xfId="0" applyNumberFormat="1" applyFont="1" applyFill="1"/>
    <xf numFmtId="0" fontId="34" fillId="6" borderId="0" xfId="0" applyFont="1" applyFill="1" applyAlignment="1">
      <alignment horizontal="right"/>
    </xf>
    <xf numFmtId="2" fontId="32" fillId="6" borderId="0" xfId="0" applyNumberFormat="1" applyFont="1" applyFill="1" applyAlignment="1">
      <alignment horizontal="right"/>
    </xf>
    <xf numFmtId="207" fontId="63" fillId="6" borderId="0" xfId="16" applyNumberFormat="1" applyFont="1" applyFill="1" applyBorder="1" applyAlignment="1">
      <alignment horizontal="right" vertical="center"/>
    </xf>
    <xf numFmtId="173" fontId="154" fillId="6" borderId="0" xfId="16" applyNumberFormat="1" applyFont="1" applyFill="1"/>
    <xf numFmtId="171" fontId="72" fillId="6" borderId="0" xfId="0" applyNumberFormat="1" applyFont="1" applyFill="1"/>
    <xf numFmtId="41" fontId="35" fillId="6" borderId="0" xfId="0" applyNumberFormat="1" applyFont="1" applyFill="1" applyAlignment="1">
      <alignment horizontal="right"/>
    </xf>
    <xf numFmtId="43" fontId="35" fillId="6" borderId="0" xfId="0" applyNumberFormat="1" applyFont="1" applyFill="1" applyAlignment="1">
      <alignment horizontal="right"/>
    </xf>
    <xf numFmtId="41" fontId="1" fillId="6" borderId="0" xfId="46" applyFont="1" applyFill="1" applyBorder="1"/>
    <xf numFmtId="41" fontId="35" fillId="6" borderId="0" xfId="0" applyNumberFormat="1" applyFont="1" applyFill="1"/>
    <xf numFmtId="0" fontId="35" fillId="6" borderId="0" xfId="0" applyFont="1" applyFill="1" applyAlignment="1">
      <alignment wrapText="1"/>
    </xf>
    <xf numFmtId="0" fontId="42" fillId="6" borderId="22" xfId="0" applyFont="1" applyFill="1" applyBorder="1"/>
    <xf numFmtId="41" fontId="72" fillId="6" borderId="0" xfId="0" applyNumberFormat="1" applyFont="1" applyFill="1" applyAlignment="1">
      <alignment horizontal="right"/>
    </xf>
    <xf numFmtId="9" fontId="72" fillId="6" borderId="0" xfId="0" applyNumberFormat="1" applyFont="1" applyFill="1"/>
    <xf numFmtId="0" fontId="107" fillId="0" borderId="22" xfId="0" applyFont="1" applyBorder="1" applyAlignment="1">
      <alignment wrapText="1"/>
    </xf>
    <xf numFmtId="0" fontId="107" fillId="0" borderId="24" xfId="0" applyFont="1" applyBorder="1" applyAlignment="1">
      <alignment wrapText="1"/>
    </xf>
    <xf numFmtId="0" fontId="107" fillId="0" borderId="26" xfId="0" applyFont="1" applyBorder="1" applyAlignment="1">
      <alignment wrapText="1"/>
    </xf>
    <xf numFmtId="0" fontId="107" fillId="0" borderId="4" xfId="0" applyFont="1" applyBorder="1" applyAlignment="1">
      <alignment wrapText="1"/>
    </xf>
    <xf numFmtId="0" fontId="107" fillId="0" borderId="0" xfId="0" applyFont="1" applyAlignment="1">
      <alignment wrapText="1"/>
    </xf>
    <xf numFmtId="0" fontId="107" fillId="0" borderId="27" xfId="0" applyFont="1" applyBorder="1" applyAlignment="1">
      <alignment wrapText="1"/>
    </xf>
    <xf numFmtId="0" fontId="65" fillId="21" borderId="0" xfId="0" applyFont="1" applyFill="1" applyAlignment="1">
      <alignment horizontal="center"/>
    </xf>
    <xf numFmtId="0" fontId="30" fillId="21" borderId="0" xfId="0" applyFont="1" applyFill="1" applyAlignment="1">
      <alignment horizontal="center"/>
    </xf>
    <xf numFmtId="0" fontId="65" fillId="21" borderId="16" xfId="0" applyFont="1" applyFill="1" applyBorder="1" applyAlignment="1">
      <alignment horizontal="center"/>
    </xf>
    <xf numFmtId="0" fontId="35" fillId="6" borderId="0" xfId="0" applyFont="1" applyFill="1" applyAlignment="1">
      <alignment horizontal="center" wrapText="1"/>
    </xf>
    <xf numFmtId="0" fontId="38" fillId="6" borderId="3" xfId="0" applyFont="1" applyFill="1" applyBorder="1" applyAlignment="1">
      <alignment horizontal="center" vertical="center"/>
    </xf>
    <xf numFmtId="0" fontId="119" fillId="21" borderId="0" xfId="0" applyFont="1" applyFill="1" applyAlignment="1">
      <alignment horizontal="center"/>
    </xf>
    <xf numFmtId="0" fontId="28" fillId="21" borderId="0" xfId="0" applyFont="1" applyFill="1" applyAlignment="1">
      <alignment horizontal="center"/>
    </xf>
    <xf numFmtId="0" fontId="76" fillId="21" borderId="0" xfId="0" applyFont="1" applyFill="1" applyAlignment="1">
      <alignment horizontal="center"/>
    </xf>
    <xf numFmtId="0" fontId="70" fillId="21" borderId="0" xfId="0" applyFont="1" applyFill="1" applyAlignment="1">
      <alignment horizontal="center"/>
    </xf>
    <xf numFmtId="0" fontId="35" fillId="6" borderId="0" xfId="0" applyFont="1" applyFill="1" applyAlignment="1">
      <alignment horizontal="center"/>
    </xf>
    <xf numFmtId="0" fontId="147" fillId="0" borderId="12" xfId="43" applyFont="1" applyBorder="1" applyAlignment="1">
      <alignment horizontal="center"/>
    </xf>
    <xf numFmtId="0" fontId="147" fillId="0" borderId="13" xfId="43" applyFont="1" applyBorder="1" applyAlignment="1">
      <alignment horizontal="center"/>
    </xf>
  </cellXfs>
  <cellStyles count="51">
    <cellStyle name="Assumptions" xfId="42" xr:uid="{A3B96000-E406-D646-87C3-0597B1A882E7}"/>
    <cellStyle name="ChartingText" xfId="14" xr:uid="{589A9C0C-5E29-4C6D-AB14-95213D900938}"/>
    <cellStyle name="CHPAboveAverage" xfId="15" xr:uid="{77E0606E-2C8A-4B3C-B87E-E094BBC6E6A2}"/>
    <cellStyle name="CHPBelowAverage" xfId="15" xr:uid="{2FC743ED-2960-4C71-9495-36413C74AF96}"/>
    <cellStyle name="CHPBottom" xfId="15" xr:uid="{190FB395-9B1E-4BC2-873E-D2F9D4BAF7F1}"/>
    <cellStyle name="CHPTop" xfId="15" xr:uid="{116E5660-DF4D-4DA9-9B2B-4127BB78E106}"/>
    <cellStyle name="ColumnHeaderNormal" xfId="6" xr:uid="{BC474413-BA5A-4A2A-846E-1F0EB66A45C7}"/>
    <cellStyle name="Comma [0]" xfId="46" builtinId="6"/>
    <cellStyle name="Comma 2" xfId="29" xr:uid="{76881E4F-2763-014E-B4CD-B6410C6917F8}"/>
    <cellStyle name="Comma 2 2" xfId="32" xr:uid="{9328290A-E45E-4576-8C1A-3A25F5299132}"/>
    <cellStyle name="Comma 3" xfId="26" xr:uid="{E8D423B8-9545-2144-A07B-3F136E67A01A}"/>
    <cellStyle name="Comma 3 2" xfId="25" xr:uid="{3F93A597-03A0-C14F-998C-DA2C5E9BFF51}"/>
    <cellStyle name="Currency 2" xfId="40" xr:uid="{EEA2653D-4C51-9246-8ADA-35BA8C85FA89}"/>
    <cellStyle name="DescriptorColumnStyle" xfId="20" xr:uid="{56B5E667-11BB-E943-9431-D785493440DF}"/>
    <cellStyle name="Dotted" xfId="27" xr:uid="{2C27DB9B-63BD-EA48-8810-2C8C9B3E230A}"/>
    <cellStyle name="HeaderStyle" xfId="19" xr:uid="{82000151-7BE8-9044-B6A3-85B0558E82C1}"/>
    <cellStyle name="HyphenStyle" xfId="35" xr:uid="{561D9E3A-2909-524A-849E-538A89CB2C31}"/>
    <cellStyle name="Invisible" xfId="13" xr:uid="{F3A3EEDB-F839-419A-9C58-922F210D55A4}"/>
    <cellStyle name="NewColumnHeaderNormal" xfId="4" xr:uid="{D8410595-47F9-4343-BE86-4EF65175C070}"/>
    <cellStyle name="NewSectionHeaderNormal" xfId="3" xr:uid="{1676E033-6FC7-42F4-B35F-6711874EF95B}"/>
    <cellStyle name="NewTitleNormal" xfId="2" xr:uid="{4398E3E4-CB35-4528-9910-12A282BB5B9F}"/>
    <cellStyle name="Normal" xfId="0" builtinId="0"/>
    <cellStyle name="Normal 2" xfId="17" xr:uid="{65C96CF5-3520-2B4B-B6EA-4EFAEAE2D051}"/>
    <cellStyle name="Normal 2 2" xfId="24" xr:uid="{18301974-02F9-6A44-A4C6-CDA07437059B}"/>
    <cellStyle name="Normal 2 2 2" xfId="38" xr:uid="{2EF8D463-A8A9-0C4D-969A-B5AEDF405B2B}"/>
    <cellStyle name="Normal 2 2 2 2" xfId="30" xr:uid="{FD3195E1-8CC7-B74D-9E1F-4C55221FFA7C}"/>
    <cellStyle name="Normal 3" xfId="23" xr:uid="{D0BF330A-097C-5C45-9A67-63921DD1DBF4}"/>
    <cellStyle name="Normal 3 2" xfId="22" xr:uid="{8756AB52-ACF5-9B4C-9B0B-ED7EB88EC302}"/>
    <cellStyle name="Normal 3 3" xfId="34" xr:uid="{572CE05A-D450-4125-8733-8B0D12614B70}"/>
    <cellStyle name="Normal 3 5" xfId="31" xr:uid="{D8D15087-C373-5746-AA19-A628E88656AD}"/>
    <cellStyle name="Normal 4" xfId="37" xr:uid="{F67AB936-2711-43CE-8C62-54391C4D9531}"/>
    <cellStyle name="Normal 5" xfId="39" xr:uid="{F8221288-D5CA-9E46-9317-5A954B3F0323}"/>
    <cellStyle name="Normal 6" xfId="18" xr:uid="{42FC7D93-6BC0-3543-8798-25C4524B692C}"/>
    <cellStyle name="Normal 7" xfId="43" xr:uid="{9359F6E8-D64A-744C-BDE3-62EF463B6075}"/>
    <cellStyle name="Normal 8" xfId="45" xr:uid="{57DB4AFF-AB84-4CBA-B0D5-D4E77DB44987}"/>
    <cellStyle name="Normal_Master Junior Database v2" xfId="47" xr:uid="{6F1E8D1E-C18A-F849-9896-C5E9193C1959}"/>
    <cellStyle name="NumberStyle" xfId="36" xr:uid="{5229546F-CB44-E94C-82FF-C39102209AA3}"/>
    <cellStyle name="Per cent 2" xfId="41" xr:uid="{73B25019-4CEC-6B40-B60A-444D5A4814B3}"/>
    <cellStyle name="Percent" xfId="16" builtinId="5"/>
    <cellStyle name="Percent 2" xfId="33" xr:uid="{249F72B6-4BFF-424F-A64D-34EE3EBE9139}"/>
    <cellStyle name="Percent 3" xfId="21" xr:uid="{C73076A0-277B-1E41-9709-A3E4ABD7607B}"/>
    <cellStyle name="Percent 4" xfId="44" xr:uid="{16E316A3-F95C-3348-8EAC-AC1F365444E7}"/>
    <cellStyle name="Percent 5" xfId="28" xr:uid="{7071FC3F-B473-F848-83F8-C76337EFF64B}"/>
    <cellStyle name="SectionHeaderNormal" xfId="5" xr:uid="{B2F42381-4029-4F87-89BF-4A7C0600600D}"/>
    <cellStyle name="SubScript" xfId="9" xr:uid="{95861FAB-CF86-4102-8332-0DCCBD70105F}"/>
    <cellStyle name="SuperScript" xfId="8" xr:uid="{C2299C60-FE54-49C0-9A23-C44CAD5149C7}"/>
    <cellStyle name="TextBold" xfId="10" xr:uid="{243D4E8D-6ADE-45DF-AFEC-DECCA158AECF}"/>
    <cellStyle name="TextItalic" xfId="11" xr:uid="{4F00E98F-9A3F-4ED0-A76D-D94117E6034D}"/>
    <cellStyle name="TextNormal" xfId="7" xr:uid="{D8150EC3-F4E8-4549-8D9C-39FDA5B6ACB7}"/>
    <cellStyle name="TitleNormal" xfId="1" xr:uid="{30F2745F-3CEC-4E46-B083-E3AD95B617B1}"/>
    <cellStyle name="Total" xfId="12" builtinId="25" customBuiltin="1"/>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FA4040"/>
      <rgbColor rgb="00FFFFEB"/>
      <rgbColor rgb="00EEEEEE"/>
      <rgbColor rgb="00F0F0DC"/>
      <rgbColor rgb="00993366"/>
      <rgbColor rgb="00F5F5E1"/>
      <rgbColor rgb="00004080"/>
    </indexedColors>
    <mruColors>
      <color rgb="FF05B04F"/>
      <color rgb="FF0000FF"/>
      <color rgb="FFFFFFCC"/>
      <color rgb="FF87E89E"/>
      <color rgb="FF00B050"/>
      <color rgb="FFD86D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Asset Turnover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R"/>
        </a:p>
      </c:txPr>
    </c:title>
    <c:autoTitleDeleted val="0"/>
    <c:plotArea>
      <c:layout/>
      <c:lineChart>
        <c:grouping val="standard"/>
        <c:varyColors val="0"/>
        <c:ser>
          <c:idx val="0"/>
          <c:order val="0"/>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Analysis'!$J$6:$O$6</c:f>
              <c:numCache>
                <c:formatCode>"FY"0"E"</c:formatCode>
                <c:ptCount val="6"/>
                <c:pt idx="0" formatCode="&quot;FY&quot;0&quot;A&quot;">
                  <c:v>24</c:v>
                </c:pt>
                <c:pt idx="1">
                  <c:v>25</c:v>
                </c:pt>
                <c:pt idx="2">
                  <c:v>26</c:v>
                </c:pt>
                <c:pt idx="3">
                  <c:v>27</c:v>
                </c:pt>
                <c:pt idx="4">
                  <c:v>28</c:v>
                </c:pt>
                <c:pt idx="5">
                  <c:v>29</c:v>
                </c:pt>
              </c:numCache>
            </c:numRef>
          </c:cat>
          <c:val>
            <c:numRef>
              <c:f>'DuPont Analysis'!$J$34:$O$34</c:f>
              <c:numCache>
                <c:formatCode>_(0.0%_);\(0.0%\);\-</c:formatCode>
                <c:ptCount val="6"/>
                <c:pt idx="0">
                  <c:v>6.9855195720776184E-2</c:v>
                </c:pt>
                <c:pt idx="1">
                  <c:v>0.58213139905389044</c:v>
                </c:pt>
                <c:pt idx="2">
                  <c:v>0.66308571295902163</c:v>
                </c:pt>
                <c:pt idx="3">
                  <c:v>0.4304979074601214</c:v>
                </c:pt>
                <c:pt idx="4">
                  <c:v>0.29653942072152367</c:v>
                </c:pt>
                <c:pt idx="5">
                  <c:v>0.22085843304086586</c:v>
                </c:pt>
              </c:numCache>
            </c:numRef>
          </c:val>
          <c:smooth val="0"/>
          <c:extLst>
            <c:ext xmlns:c16="http://schemas.microsoft.com/office/drawing/2014/chart" uri="{C3380CC4-5D6E-409C-BE32-E72D297353CC}">
              <c16:uniqueId val="{00000000-BE2D-B24B-90CF-AD8038FD534B}"/>
            </c:ext>
          </c:extLst>
        </c:ser>
        <c:dLbls>
          <c:dLblPos val="l"/>
          <c:showLegendKey val="0"/>
          <c:showVal val="1"/>
          <c:showCatName val="0"/>
          <c:showSerName val="0"/>
          <c:showPercent val="0"/>
          <c:showBubbleSize val="0"/>
        </c:dLbls>
        <c:smooth val="0"/>
        <c:axId val="596109119"/>
        <c:axId val="596110831"/>
      </c:lineChart>
      <c:catAx>
        <c:axId val="596109119"/>
        <c:scaling>
          <c:orientation val="minMax"/>
        </c:scaling>
        <c:delete val="0"/>
        <c:axPos val="b"/>
        <c:numFmt formatCode="&quot;FY&quot;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596110831"/>
        <c:crosses val="autoZero"/>
        <c:auto val="1"/>
        <c:lblAlgn val="ctr"/>
        <c:lblOffset val="100"/>
        <c:noMultiLvlLbl val="0"/>
      </c:catAx>
      <c:valAx>
        <c:axId val="596110831"/>
        <c:scaling>
          <c:orientation val="minMax"/>
        </c:scaling>
        <c:delete val="0"/>
        <c:axPos val="l"/>
        <c:numFmt formatCode="_(0.0%_);\(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5961091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Interest Burden</a:t>
            </a:r>
            <a:r>
              <a:rPr lang="en-US" baseline="0"/>
              <a:t> Ratio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2"/>
            </a:solidFill>
            <a:ln>
              <a:noFill/>
            </a:ln>
            <a:effectLst/>
          </c:spPr>
          <c:invertIfNegative val="0"/>
          <c:trendline>
            <c:spPr>
              <a:ln w="19050" cap="rnd">
                <a:solidFill>
                  <a:schemeClr val="accent1"/>
                </a:solidFill>
                <a:prstDash val="sysDot"/>
              </a:ln>
              <a:effectLst/>
            </c:spPr>
            <c:trendlineType val="linear"/>
            <c:dispRSqr val="0"/>
            <c:dispEq val="0"/>
          </c:trendline>
          <c:cat>
            <c:numRef>
              <c:f>'DuPont Analysis'!$J$6:$O$6</c:f>
              <c:numCache>
                <c:formatCode>"FY"0"E"</c:formatCode>
                <c:ptCount val="6"/>
                <c:pt idx="0" formatCode="&quot;FY&quot;0&quot;A&quot;">
                  <c:v>24</c:v>
                </c:pt>
                <c:pt idx="1">
                  <c:v>25</c:v>
                </c:pt>
                <c:pt idx="2">
                  <c:v>26</c:v>
                </c:pt>
                <c:pt idx="3">
                  <c:v>27</c:v>
                </c:pt>
                <c:pt idx="4">
                  <c:v>28</c:v>
                </c:pt>
                <c:pt idx="5">
                  <c:v>29</c:v>
                </c:pt>
              </c:numCache>
            </c:numRef>
          </c:cat>
          <c:val>
            <c:numRef>
              <c:f>'DuPont Analysis'!$J$31:$O$31</c:f>
              <c:numCache>
                <c:formatCode>#,##0.0\x;\(#,##0.0\x\);\-</c:formatCode>
                <c:ptCount val="6"/>
                <c:pt idx="0">
                  <c:v>4.1297797261329832</c:v>
                </c:pt>
                <c:pt idx="1">
                  <c:v>2.2551414493139741</c:v>
                </c:pt>
                <c:pt idx="2">
                  <c:v>0.29752103055137141</c:v>
                </c:pt>
                <c:pt idx="3">
                  <c:v>0.98184606958876286</c:v>
                </c:pt>
                <c:pt idx="4">
                  <c:v>0.98473882243988453</c:v>
                </c:pt>
                <c:pt idx="5">
                  <c:v>0.98586132359526168</c:v>
                </c:pt>
              </c:numCache>
            </c:numRef>
          </c:val>
          <c:extLst>
            <c:ext xmlns:c16="http://schemas.microsoft.com/office/drawing/2014/chart" uri="{C3380CC4-5D6E-409C-BE32-E72D297353CC}">
              <c16:uniqueId val="{00000000-DAE7-0B41-AFAD-E6C73CB7A91D}"/>
            </c:ext>
          </c:extLst>
        </c:ser>
        <c:dLbls>
          <c:showLegendKey val="0"/>
          <c:showVal val="0"/>
          <c:showCatName val="0"/>
          <c:showSerName val="0"/>
          <c:showPercent val="0"/>
          <c:showBubbleSize val="0"/>
        </c:dLbls>
        <c:gapWidth val="219"/>
        <c:overlap val="-27"/>
        <c:axId val="1592721039"/>
        <c:axId val="1592722751"/>
      </c:barChart>
      <c:catAx>
        <c:axId val="1592721039"/>
        <c:scaling>
          <c:orientation val="minMax"/>
        </c:scaling>
        <c:delete val="0"/>
        <c:axPos val="b"/>
        <c:numFmt formatCode="&quot;FY&quot;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1592722751"/>
        <c:crosses val="autoZero"/>
        <c:auto val="1"/>
        <c:lblAlgn val="ctr"/>
        <c:lblOffset val="100"/>
        <c:noMultiLvlLbl val="0"/>
      </c:catAx>
      <c:valAx>
        <c:axId val="1592722751"/>
        <c:scaling>
          <c:orientation val="minMax"/>
        </c:scaling>
        <c:delete val="0"/>
        <c:axPos val="l"/>
        <c:numFmt formatCode="#,##0.0\x;\(#,##0.0\x\);\-"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15927210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Asset Turnover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R"/>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Analysis'!$J$6:$O$6</c:f>
              <c:numCache>
                <c:formatCode>"FY"0"E"</c:formatCode>
                <c:ptCount val="6"/>
                <c:pt idx="0" formatCode="&quot;FY&quot;0&quot;A&quot;">
                  <c:v>24</c:v>
                </c:pt>
                <c:pt idx="1">
                  <c:v>25</c:v>
                </c:pt>
                <c:pt idx="2">
                  <c:v>26</c:v>
                </c:pt>
                <c:pt idx="3">
                  <c:v>27</c:v>
                </c:pt>
                <c:pt idx="4">
                  <c:v>28</c:v>
                </c:pt>
                <c:pt idx="5">
                  <c:v>29</c:v>
                </c:pt>
              </c:numCache>
            </c:numRef>
          </c:cat>
          <c:val>
            <c:numRef>
              <c:f>'DuPont Analysis'!$J$12:$O$12</c:f>
              <c:numCache>
                <c:formatCode>#,##0.0;\(#,##0.0\);\-</c:formatCode>
                <c:ptCount val="6"/>
                <c:pt idx="0">
                  <c:v>33.152000000000001</c:v>
                </c:pt>
                <c:pt idx="1">
                  <c:v>46.628407670567881</c:v>
                </c:pt>
                <c:pt idx="2">
                  <c:v>91.6421690735271</c:v>
                </c:pt>
                <c:pt idx="3">
                  <c:v>180.71686921209806</c:v>
                </c:pt>
                <c:pt idx="4">
                  <c:v>334.55128298688044</c:v>
                </c:pt>
                <c:pt idx="5">
                  <c:v>621.58757680238341</c:v>
                </c:pt>
              </c:numCache>
            </c:numRef>
          </c:val>
          <c:extLst>
            <c:ext xmlns:c16="http://schemas.microsoft.com/office/drawing/2014/chart" uri="{C3380CC4-5D6E-409C-BE32-E72D297353CC}">
              <c16:uniqueId val="{00000000-0DB5-E847-890F-7F7F03DAB9D1}"/>
            </c:ext>
          </c:extLst>
        </c:ser>
        <c:dLbls>
          <c:dLblPos val="outEnd"/>
          <c:showLegendKey val="0"/>
          <c:showVal val="1"/>
          <c:showCatName val="0"/>
          <c:showSerName val="0"/>
          <c:showPercent val="0"/>
          <c:showBubbleSize val="0"/>
        </c:dLbls>
        <c:gapWidth val="219"/>
        <c:overlap val="-27"/>
        <c:axId val="893833088"/>
        <c:axId val="893834800"/>
      </c:barChart>
      <c:lineChart>
        <c:grouping val="standard"/>
        <c:varyColors val="0"/>
        <c:ser>
          <c:idx val="1"/>
          <c:order val="1"/>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Analysis'!$J$6:$O$6</c:f>
              <c:numCache>
                <c:formatCode>"FY"0"E"</c:formatCode>
                <c:ptCount val="6"/>
                <c:pt idx="0" formatCode="&quot;FY&quot;0&quot;A&quot;">
                  <c:v>24</c:v>
                </c:pt>
                <c:pt idx="1">
                  <c:v>25</c:v>
                </c:pt>
                <c:pt idx="2">
                  <c:v>26</c:v>
                </c:pt>
                <c:pt idx="3">
                  <c:v>27</c:v>
                </c:pt>
                <c:pt idx="4">
                  <c:v>28</c:v>
                </c:pt>
                <c:pt idx="5">
                  <c:v>29</c:v>
                </c:pt>
              </c:numCache>
            </c:numRef>
          </c:cat>
          <c:val>
            <c:numRef>
              <c:f>'DuPont Analysis'!$J$34:$O$34</c:f>
              <c:numCache>
                <c:formatCode>_(0.0%_);\(0.0%\);\-</c:formatCode>
                <c:ptCount val="6"/>
                <c:pt idx="0">
                  <c:v>6.9855195720776184E-2</c:v>
                </c:pt>
                <c:pt idx="1">
                  <c:v>0.58213139905389044</c:v>
                </c:pt>
                <c:pt idx="2">
                  <c:v>0.66308571295902163</c:v>
                </c:pt>
                <c:pt idx="3">
                  <c:v>0.4304979074601214</c:v>
                </c:pt>
                <c:pt idx="4">
                  <c:v>0.29653942072152367</c:v>
                </c:pt>
                <c:pt idx="5">
                  <c:v>0.22085843304086586</c:v>
                </c:pt>
              </c:numCache>
            </c:numRef>
          </c:val>
          <c:smooth val="0"/>
          <c:extLst>
            <c:ext xmlns:c16="http://schemas.microsoft.com/office/drawing/2014/chart" uri="{C3380CC4-5D6E-409C-BE32-E72D297353CC}">
              <c16:uniqueId val="{00000001-0DB5-E847-890F-7F7F03DAB9D1}"/>
            </c:ext>
          </c:extLst>
        </c:ser>
        <c:dLbls>
          <c:showLegendKey val="0"/>
          <c:showVal val="1"/>
          <c:showCatName val="0"/>
          <c:showSerName val="0"/>
          <c:showPercent val="0"/>
          <c:showBubbleSize val="0"/>
        </c:dLbls>
        <c:marker val="1"/>
        <c:smooth val="0"/>
        <c:axId val="894029488"/>
        <c:axId val="894098400"/>
      </c:lineChart>
      <c:catAx>
        <c:axId val="893833088"/>
        <c:scaling>
          <c:orientation val="minMax"/>
        </c:scaling>
        <c:delete val="0"/>
        <c:axPos val="b"/>
        <c:numFmt formatCode="&quot;FY&quot;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893834800"/>
        <c:crosses val="autoZero"/>
        <c:auto val="1"/>
        <c:lblAlgn val="ctr"/>
        <c:lblOffset val="100"/>
        <c:noMultiLvlLbl val="0"/>
      </c:catAx>
      <c:valAx>
        <c:axId val="893834800"/>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893833088"/>
        <c:crosses val="autoZero"/>
        <c:crossBetween val="between"/>
      </c:valAx>
      <c:valAx>
        <c:axId val="894098400"/>
        <c:scaling>
          <c:orientation val="minMax"/>
        </c:scaling>
        <c:delete val="0"/>
        <c:axPos val="r"/>
        <c:numFmt formatCode="_(0.0%_);\(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894029488"/>
        <c:crosses val="max"/>
        <c:crossBetween val="between"/>
      </c:valAx>
      <c:catAx>
        <c:axId val="894029488"/>
        <c:scaling>
          <c:orientation val="minMax"/>
        </c:scaling>
        <c:delete val="1"/>
        <c:axPos val="b"/>
        <c:numFmt formatCode="&quot;FY&quot;0&quot;A&quot;" sourceLinked="1"/>
        <c:majorTickMark val="none"/>
        <c:minorTickMark val="none"/>
        <c:tickLblPos val="nextTo"/>
        <c:crossAx val="894098400"/>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R"/>
        </a:p>
      </c:txPr>
    </c:title>
    <c:autoTitleDeleted val="0"/>
    <c:plotArea>
      <c:layout/>
      <c:barChart>
        <c:barDir val="col"/>
        <c:grouping val="clustered"/>
        <c:varyColors val="0"/>
        <c:ser>
          <c:idx val="0"/>
          <c:order val="0"/>
          <c:spPr>
            <a:solidFill>
              <a:schemeClr val="accent1"/>
            </a:solidFill>
            <a:ln>
              <a:noFill/>
            </a:ln>
            <a:effectLst/>
          </c:spPr>
          <c:invertIfNegative val="0"/>
          <c:cat>
            <c:numRef>
              <c:f>'DuPont Analysis'!$J$6:$O$6</c:f>
              <c:numCache>
                <c:formatCode>"FY"0"E"</c:formatCode>
                <c:ptCount val="6"/>
                <c:pt idx="0" formatCode="&quot;FY&quot;0&quot;A&quot;">
                  <c:v>24</c:v>
                </c:pt>
                <c:pt idx="1">
                  <c:v>25</c:v>
                </c:pt>
                <c:pt idx="2">
                  <c:v>26</c:v>
                </c:pt>
                <c:pt idx="3">
                  <c:v>27</c:v>
                </c:pt>
                <c:pt idx="4">
                  <c:v>28</c:v>
                </c:pt>
                <c:pt idx="5">
                  <c:v>29</c:v>
                </c:pt>
              </c:numCache>
            </c:numRef>
          </c:cat>
          <c:val>
            <c:numRef>
              <c:f>'DuPont Analysis'!$J$13:$O$13</c:f>
              <c:numCache>
                <c:formatCode>0%</c:formatCode>
                <c:ptCount val="6"/>
                <c:pt idx="0">
                  <c:v>2.1243111623734463</c:v>
                </c:pt>
                <c:pt idx="1">
                  <c:v>0.26653446191964114</c:v>
                </c:pt>
                <c:pt idx="2">
                  <c:v>0.11905629890867699</c:v>
                </c:pt>
                <c:pt idx="3">
                  <c:v>0.11011145988181002</c:v>
                </c:pt>
                <c:pt idx="4">
                  <c:v>0.14803278380894749</c:v>
                </c:pt>
                <c:pt idx="5">
                  <c:v>0.24436235752102611</c:v>
                </c:pt>
              </c:numCache>
            </c:numRef>
          </c:val>
          <c:extLst>
            <c:ext xmlns:c16="http://schemas.microsoft.com/office/drawing/2014/chart" uri="{C3380CC4-5D6E-409C-BE32-E72D297353CC}">
              <c16:uniqueId val="{00000000-A502-4241-AE4C-5E6B0A260ADF}"/>
            </c:ext>
          </c:extLst>
        </c:ser>
        <c:ser>
          <c:idx val="1"/>
          <c:order val="1"/>
          <c:spPr>
            <a:solidFill>
              <a:schemeClr val="accent2"/>
            </a:solidFill>
            <a:ln>
              <a:noFill/>
            </a:ln>
            <a:effectLst/>
          </c:spPr>
          <c:invertIfNegative val="0"/>
          <c:cat>
            <c:numRef>
              <c:f>'DuPont Analysis'!$J$6:$O$6</c:f>
              <c:numCache>
                <c:formatCode>"FY"0"E"</c:formatCode>
                <c:ptCount val="6"/>
                <c:pt idx="0" formatCode="&quot;FY&quot;0&quot;A&quot;">
                  <c:v>24</c:v>
                </c:pt>
                <c:pt idx="1">
                  <c:v>25</c:v>
                </c:pt>
                <c:pt idx="2">
                  <c:v>26</c:v>
                </c:pt>
                <c:pt idx="3">
                  <c:v>27</c:v>
                </c:pt>
                <c:pt idx="4">
                  <c:v>28</c:v>
                </c:pt>
                <c:pt idx="5">
                  <c:v>29</c:v>
                </c:pt>
              </c:numCache>
            </c:numRef>
          </c:cat>
          <c:val>
            <c:numRef>
              <c:f>'DuPont Analysis'!$J$34:$O$34</c:f>
              <c:numCache>
                <c:formatCode>_(0.0%_);\(0.0%\);\-</c:formatCode>
                <c:ptCount val="6"/>
                <c:pt idx="0">
                  <c:v>6.9855195720776184E-2</c:v>
                </c:pt>
                <c:pt idx="1">
                  <c:v>0.58213139905389044</c:v>
                </c:pt>
                <c:pt idx="2">
                  <c:v>0.66308571295902163</c:v>
                </c:pt>
                <c:pt idx="3">
                  <c:v>0.4304979074601214</c:v>
                </c:pt>
                <c:pt idx="4">
                  <c:v>0.29653942072152367</c:v>
                </c:pt>
                <c:pt idx="5">
                  <c:v>0.22085843304086586</c:v>
                </c:pt>
              </c:numCache>
            </c:numRef>
          </c:val>
          <c:extLst>
            <c:ext xmlns:c16="http://schemas.microsoft.com/office/drawing/2014/chart" uri="{C3380CC4-5D6E-409C-BE32-E72D297353CC}">
              <c16:uniqueId val="{00000001-A502-4241-AE4C-5E6B0A260ADF}"/>
            </c:ext>
          </c:extLst>
        </c:ser>
        <c:dLbls>
          <c:showLegendKey val="0"/>
          <c:showVal val="0"/>
          <c:showCatName val="0"/>
          <c:showSerName val="0"/>
          <c:showPercent val="0"/>
          <c:showBubbleSize val="0"/>
        </c:dLbls>
        <c:gapWidth val="219"/>
        <c:overlap val="-27"/>
        <c:axId val="2107449680"/>
        <c:axId val="2107000224"/>
      </c:barChart>
      <c:catAx>
        <c:axId val="2107449680"/>
        <c:scaling>
          <c:orientation val="minMax"/>
        </c:scaling>
        <c:delete val="0"/>
        <c:axPos val="b"/>
        <c:numFmt formatCode="&quot;FY&quot;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2107000224"/>
        <c:crosses val="autoZero"/>
        <c:auto val="1"/>
        <c:lblAlgn val="ctr"/>
        <c:lblOffset val="100"/>
        <c:noMultiLvlLbl val="0"/>
      </c:catAx>
      <c:valAx>
        <c:axId val="21070002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2107449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Demand</a:t>
            </a:r>
            <a:r>
              <a:rPr lang="en-US" baseline="0"/>
              <a:t> of </a:t>
            </a:r>
            <a:r>
              <a:rPr lang="en-US"/>
              <a:t>Commercial Pipeline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R"/>
        </a:p>
      </c:txPr>
    </c:title>
    <c:autoTitleDeleted val="0"/>
    <c:plotArea>
      <c:layout/>
      <c:barChart>
        <c:barDir val="col"/>
        <c:grouping val="clustered"/>
        <c:varyColors val="0"/>
        <c:ser>
          <c:idx val="0"/>
          <c:order val="0"/>
          <c:tx>
            <c:strRef>
              <c:f>'For Graphs'!$I$33</c:f>
              <c:strCache>
                <c:ptCount val="1"/>
                <c:pt idx="0">
                  <c:v>Pipeline (USD bn)</c:v>
                </c:pt>
              </c:strCache>
            </c:strRef>
          </c:tx>
          <c:spPr>
            <a:solidFill>
              <a:schemeClr val="accent1"/>
            </a:solidFill>
            <a:ln>
              <a:noFill/>
            </a:ln>
            <a:effectLst/>
          </c:spPr>
          <c:invertIfNegative val="0"/>
          <c:val>
            <c:numRef>
              <c:f>'For Graphs'!$I$34:$I$37</c:f>
              <c:numCache>
                <c:formatCode>General</c:formatCode>
                <c:ptCount val="4"/>
                <c:pt idx="0">
                  <c:v>13</c:v>
                </c:pt>
                <c:pt idx="1">
                  <c:v>14.2</c:v>
                </c:pt>
                <c:pt idx="2">
                  <c:v>14.4</c:v>
                </c:pt>
                <c:pt idx="3">
                  <c:v>22.6</c:v>
                </c:pt>
              </c:numCache>
            </c:numRef>
          </c:val>
          <c:extLst>
            <c:ext xmlns:c15="http://schemas.microsoft.com/office/drawing/2012/chart" uri="{02D57815-91ED-43cb-92C2-25804820EDAC}">
              <c15:filteredCategoryTitle>
                <c15:cat>
                  <c:strRef>
                    <c:extLst>
                      <c:ext uri="{02D57815-91ED-43cb-92C2-25804820EDAC}">
                        <c15:formulaRef>
                          <c15:sqref>'For Graphs'!$H$34:$H$37</c15:sqref>
                        </c15:formulaRef>
                      </c:ext>
                    </c:extLst>
                    <c:strCache>
                      <c:ptCount val="4"/>
                      <c:pt idx="0">
                        <c:v>2024 Q1</c:v>
                      </c:pt>
                      <c:pt idx="1">
                        <c:v>2024 Q3</c:v>
                      </c:pt>
                      <c:pt idx="2">
                        <c:v>2025 Q1</c:v>
                      </c:pt>
                      <c:pt idx="3">
                        <c:v>2025 Q3</c:v>
                      </c:pt>
                    </c:strCache>
                  </c:strRef>
                </c15:cat>
              </c15:filteredCategoryTitle>
            </c:ext>
            <c:ext xmlns:c16="http://schemas.microsoft.com/office/drawing/2014/chart" uri="{C3380CC4-5D6E-409C-BE32-E72D297353CC}">
              <c16:uniqueId val="{00000000-8460-D742-92D4-FF3858B13BDB}"/>
            </c:ext>
          </c:extLst>
        </c:ser>
        <c:dLbls>
          <c:showLegendKey val="0"/>
          <c:showVal val="0"/>
          <c:showCatName val="0"/>
          <c:showSerName val="0"/>
          <c:showPercent val="0"/>
          <c:showBubbleSize val="0"/>
        </c:dLbls>
        <c:gapWidth val="219"/>
        <c:axId val="649874095"/>
        <c:axId val="649879919"/>
      </c:barChart>
      <c:lineChart>
        <c:grouping val="standard"/>
        <c:varyColors val="0"/>
        <c:ser>
          <c:idx val="1"/>
          <c:order val="1"/>
          <c:tx>
            <c:strRef>
              <c:f>'For Graphs'!$J$33</c:f>
              <c:strCache>
                <c:ptCount val="1"/>
                <c:pt idx="0">
                  <c:v>Pipeline (Gwh)</c:v>
                </c:pt>
              </c:strCache>
            </c:strRef>
          </c:tx>
          <c:spPr>
            <a:ln w="28575" cap="rnd">
              <a:solidFill>
                <a:schemeClr val="accent2"/>
              </a:solidFill>
              <a:round/>
            </a:ln>
            <a:effectLst/>
          </c:spPr>
          <c:marker>
            <c:symbol val="none"/>
          </c:marker>
          <c:val>
            <c:numRef>
              <c:f>'For Graphs'!$J$34:$J$37</c:f>
              <c:numCache>
                <c:formatCode>General</c:formatCode>
                <c:ptCount val="4"/>
                <c:pt idx="1">
                  <c:v>59</c:v>
                </c:pt>
                <c:pt idx="2">
                  <c:v>52</c:v>
                </c:pt>
                <c:pt idx="3">
                  <c:v>91</c:v>
                </c:pt>
              </c:numCache>
            </c:numRef>
          </c:val>
          <c:smooth val="0"/>
          <c:extLst>
            <c:ext xmlns:c15="http://schemas.microsoft.com/office/drawing/2012/chart" uri="{02D57815-91ED-43cb-92C2-25804820EDAC}">
              <c15:filteredCategoryTitle>
                <c15:cat>
                  <c:strRef>
                    <c:extLst>
                      <c:ext uri="{02D57815-91ED-43cb-92C2-25804820EDAC}">
                        <c15:formulaRef>
                          <c15:sqref>'For Graphs'!$H$34:$H$37</c15:sqref>
                        </c15:formulaRef>
                      </c:ext>
                    </c:extLst>
                    <c:strCache>
                      <c:ptCount val="4"/>
                      <c:pt idx="0">
                        <c:v>2024 Q1</c:v>
                      </c:pt>
                      <c:pt idx="1">
                        <c:v>2024 Q3</c:v>
                      </c:pt>
                      <c:pt idx="2">
                        <c:v>2025 Q1</c:v>
                      </c:pt>
                      <c:pt idx="3">
                        <c:v>2025 Q3</c:v>
                      </c:pt>
                    </c:strCache>
                  </c:strRef>
                </c15:cat>
              </c15:filteredCategoryTitle>
            </c:ext>
            <c:ext xmlns:c16="http://schemas.microsoft.com/office/drawing/2014/chart" uri="{C3380CC4-5D6E-409C-BE32-E72D297353CC}">
              <c16:uniqueId val="{00000001-8460-D742-92D4-FF3858B13BDB}"/>
            </c:ext>
          </c:extLst>
        </c:ser>
        <c:dLbls>
          <c:showLegendKey val="0"/>
          <c:showVal val="0"/>
          <c:showCatName val="0"/>
          <c:showSerName val="0"/>
          <c:showPercent val="0"/>
          <c:showBubbleSize val="0"/>
        </c:dLbls>
        <c:marker val="1"/>
        <c:smooth val="0"/>
        <c:axId val="531987167"/>
        <c:axId val="531985055"/>
      </c:lineChart>
      <c:catAx>
        <c:axId val="64987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649879919"/>
        <c:crosses val="autoZero"/>
        <c:auto val="1"/>
        <c:lblAlgn val="ctr"/>
        <c:lblOffset val="100"/>
        <c:noMultiLvlLbl val="0"/>
      </c:catAx>
      <c:valAx>
        <c:axId val="6498799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Pipeline (USD bn)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649874095"/>
        <c:crosses val="autoZero"/>
        <c:crossBetween val="between"/>
      </c:valAx>
      <c:valAx>
        <c:axId val="53198505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Pipeline</a:t>
                </a:r>
                <a:r>
                  <a:rPr lang="en-US" baseline="0"/>
                  <a:t> (Gwh)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531987167"/>
        <c:crosses val="max"/>
        <c:crossBetween val="between"/>
      </c:valAx>
      <c:catAx>
        <c:axId val="531987167"/>
        <c:scaling>
          <c:orientation val="minMax"/>
        </c:scaling>
        <c:delete val="1"/>
        <c:axPos val="b"/>
        <c:numFmt formatCode="General" sourceLinked="1"/>
        <c:majorTickMark val="out"/>
        <c:minorTickMark val="none"/>
        <c:tickLblPos val="nextTo"/>
        <c:crossAx val="5319850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R"/>
        </a:p>
      </c:txPr>
    </c:title>
    <c:autoTitleDeleted val="0"/>
    <c:plotArea>
      <c:layout/>
      <c:lineChart>
        <c:grouping val="stacked"/>
        <c:varyColors val="0"/>
        <c:ser>
          <c:idx val="0"/>
          <c:order val="0"/>
          <c:tx>
            <c:strRef>
              <c:f>'For Graphs'!$L$33</c:f>
              <c:strCache>
                <c:ptCount val="1"/>
                <c:pt idx="0">
                  <c:v>Pipeline (Gwh)</c:v>
                </c:pt>
              </c:strCache>
            </c:strRef>
          </c:tx>
          <c:spPr>
            <a:ln w="28575" cap="rnd">
              <a:solidFill>
                <a:schemeClr val="accent1"/>
              </a:solidFill>
              <a:round/>
            </a:ln>
            <a:effectLst/>
          </c:spPr>
          <c:marker>
            <c:symbol val="none"/>
          </c:marker>
          <c:cat>
            <c:strRef>
              <c:f>'For Graphs'!$K$34:$K$36</c:f>
              <c:strCache>
                <c:ptCount val="3"/>
                <c:pt idx="0">
                  <c:v>2023 Q4</c:v>
                </c:pt>
                <c:pt idx="1">
                  <c:v>2024 Q2</c:v>
                </c:pt>
                <c:pt idx="2">
                  <c:v>2024 Q4</c:v>
                </c:pt>
              </c:strCache>
            </c:strRef>
          </c:cat>
          <c:val>
            <c:numRef>
              <c:f>'For Graphs'!$L$34:$L$36</c:f>
              <c:numCache>
                <c:formatCode>General</c:formatCode>
                <c:ptCount val="3"/>
                <c:pt idx="0">
                  <c:v>1.25</c:v>
                </c:pt>
                <c:pt idx="1">
                  <c:v>2</c:v>
                </c:pt>
                <c:pt idx="2">
                  <c:v>8</c:v>
                </c:pt>
              </c:numCache>
            </c:numRef>
          </c:val>
          <c:smooth val="0"/>
          <c:extLst>
            <c:ext xmlns:c16="http://schemas.microsoft.com/office/drawing/2014/chart" uri="{C3380CC4-5D6E-409C-BE32-E72D297353CC}">
              <c16:uniqueId val="{00000000-62C0-DF47-A901-F76EB8C84A03}"/>
            </c:ext>
          </c:extLst>
        </c:ser>
        <c:dLbls>
          <c:showLegendKey val="0"/>
          <c:showVal val="0"/>
          <c:showCatName val="0"/>
          <c:showSerName val="0"/>
          <c:showPercent val="0"/>
          <c:showBubbleSize val="0"/>
        </c:dLbls>
        <c:smooth val="0"/>
        <c:axId val="1774881535"/>
        <c:axId val="1774655631"/>
      </c:lineChart>
      <c:catAx>
        <c:axId val="177488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1774655631"/>
        <c:crosses val="autoZero"/>
        <c:auto val="1"/>
        <c:lblAlgn val="ctr"/>
        <c:lblOffset val="100"/>
        <c:noMultiLvlLbl val="0"/>
      </c:catAx>
      <c:valAx>
        <c:axId val="1774655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177488153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R"/>
        </a:p>
      </c:txPr>
    </c:title>
    <c:autoTitleDeleted val="0"/>
    <c:plotArea>
      <c:layout/>
      <c:lineChart>
        <c:grouping val="standard"/>
        <c:varyColors val="0"/>
        <c:ser>
          <c:idx val="0"/>
          <c:order val="0"/>
          <c:tx>
            <c:strRef>
              <c:f>'For Graphs'!$D$11:$E$11</c:f>
              <c:strCache>
                <c:ptCount val="2"/>
                <c:pt idx="0">
                  <c:v>Total Revenue</c:v>
                </c:pt>
              </c:strCache>
            </c:strRef>
          </c:tx>
          <c:spPr>
            <a:ln w="28575" cap="rnd">
              <a:solidFill>
                <a:schemeClr val="accent1"/>
              </a:solidFill>
              <a:round/>
            </a:ln>
            <a:effectLst/>
          </c:spPr>
          <c:marker>
            <c:symbol val="none"/>
          </c:marker>
          <c:cat>
            <c:numRef>
              <c:f>'For Graphs'!$F$7:$O$7</c:f>
              <c:numCache>
                <c:formatCode>"FY"0"A"</c:formatCode>
                <c:ptCount val="10"/>
                <c:pt idx="0">
                  <c:v>20</c:v>
                </c:pt>
                <c:pt idx="1">
                  <c:v>21</c:v>
                </c:pt>
                <c:pt idx="2">
                  <c:v>22</c:v>
                </c:pt>
                <c:pt idx="3">
                  <c:v>23</c:v>
                </c:pt>
                <c:pt idx="4">
                  <c:v>24</c:v>
                </c:pt>
                <c:pt idx="5" formatCode="&quot;FY&quot;0">
                  <c:v>25</c:v>
                </c:pt>
                <c:pt idx="6" formatCode="&quot;FY&quot;0">
                  <c:v>26</c:v>
                </c:pt>
                <c:pt idx="7" formatCode="&quot;FY&quot;0">
                  <c:v>27</c:v>
                </c:pt>
                <c:pt idx="8" formatCode="&quot;FY&quot;0">
                  <c:v>28</c:v>
                </c:pt>
                <c:pt idx="9" formatCode="&quot;FY&quot;0">
                  <c:v>29</c:v>
                </c:pt>
              </c:numCache>
            </c:numRef>
          </c:cat>
          <c:val>
            <c:numRef>
              <c:f>'For Graphs'!$F$11:$O$11</c:f>
              <c:numCache>
                <c:formatCode>#,##0.0;\(#,##0.0\);\-</c:formatCode>
                <c:ptCount val="10"/>
                <c:pt idx="0">
                  <c:v>0.219</c:v>
                </c:pt>
                <c:pt idx="1">
                  <c:v>4.5979999999999999</c:v>
                </c:pt>
                <c:pt idx="2">
                  <c:v>17.923999999999999</c:v>
                </c:pt>
                <c:pt idx="3">
                  <c:v>16.378</c:v>
                </c:pt>
                <c:pt idx="4">
                  <c:v>15.606</c:v>
                </c:pt>
                <c:pt idx="5">
                  <c:v>174.94326000000001</c:v>
                </c:pt>
                <c:pt idx="6">
                  <c:v>769.7380979717999</c:v>
                </c:pt>
                <c:pt idx="7">
                  <c:v>1641.2176299004077</c:v>
                </c:pt>
                <c:pt idx="8">
                  <c:v>2259.9810283825741</c:v>
                </c:pt>
                <c:pt idx="9">
                  <c:v>2543.712473181959</c:v>
                </c:pt>
              </c:numCache>
            </c:numRef>
          </c:val>
          <c:smooth val="0"/>
          <c:extLst>
            <c:ext xmlns:c16="http://schemas.microsoft.com/office/drawing/2014/chart" uri="{C3380CC4-5D6E-409C-BE32-E72D297353CC}">
              <c16:uniqueId val="{00000000-E1FC-5145-B88B-8D9DBD77AB7B}"/>
            </c:ext>
          </c:extLst>
        </c:ser>
        <c:ser>
          <c:idx val="1"/>
          <c:order val="1"/>
          <c:tx>
            <c:strRef>
              <c:f>'For Graphs'!$D$13:$E$13</c:f>
              <c:strCache>
                <c:ptCount val="2"/>
                <c:pt idx="0">
                  <c:v>Gross Profit</c:v>
                </c:pt>
              </c:strCache>
            </c:strRef>
          </c:tx>
          <c:spPr>
            <a:ln w="28575" cap="rnd">
              <a:solidFill>
                <a:schemeClr val="accent2"/>
              </a:solidFill>
              <a:round/>
            </a:ln>
            <a:effectLst/>
          </c:spPr>
          <c:marker>
            <c:symbol val="none"/>
          </c:marker>
          <c:cat>
            <c:numRef>
              <c:f>'For Graphs'!$F$7:$O$7</c:f>
              <c:numCache>
                <c:formatCode>"FY"0"A"</c:formatCode>
                <c:ptCount val="10"/>
                <c:pt idx="0">
                  <c:v>20</c:v>
                </c:pt>
                <c:pt idx="1">
                  <c:v>21</c:v>
                </c:pt>
                <c:pt idx="2">
                  <c:v>22</c:v>
                </c:pt>
                <c:pt idx="3">
                  <c:v>23</c:v>
                </c:pt>
                <c:pt idx="4">
                  <c:v>24</c:v>
                </c:pt>
                <c:pt idx="5" formatCode="&quot;FY&quot;0">
                  <c:v>25</c:v>
                </c:pt>
                <c:pt idx="6" formatCode="&quot;FY&quot;0">
                  <c:v>26</c:v>
                </c:pt>
                <c:pt idx="7" formatCode="&quot;FY&quot;0">
                  <c:v>27</c:v>
                </c:pt>
                <c:pt idx="8" formatCode="&quot;FY&quot;0">
                  <c:v>28</c:v>
                </c:pt>
                <c:pt idx="9" formatCode="&quot;FY&quot;0">
                  <c:v>29</c:v>
                </c:pt>
              </c:numCache>
            </c:numRef>
          </c:cat>
          <c:val>
            <c:numRef>
              <c:f>'For Graphs'!$F$13:$O$13</c:f>
              <c:numCache>
                <c:formatCode>#,##0.0;\(#,##0.0\);\-</c:formatCode>
                <c:ptCount val="10"/>
                <c:pt idx="0">
                  <c:v>-5.29</c:v>
                </c:pt>
                <c:pt idx="1">
                  <c:v>-41.884999999999998</c:v>
                </c:pt>
                <c:pt idx="2">
                  <c:v>-135.33599999999998</c:v>
                </c:pt>
                <c:pt idx="3">
                  <c:v>-73.42</c:v>
                </c:pt>
                <c:pt idx="4">
                  <c:v>-83.26100000000001</c:v>
                </c:pt>
                <c:pt idx="5">
                  <c:v>69.977304000000004</c:v>
                </c:pt>
                <c:pt idx="6">
                  <c:v>327.13869163801502</c:v>
                </c:pt>
                <c:pt idx="7">
                  <c:v>738.54793345518362</c:v>
                </c:pt>
                <c:pt idx="8">
                  <c:v>1073.490988481723</c:v>
                </c:pt>
                <c:pt idx="9">
                  <c:v>1271.8562365909797</c:v>
                </c:pt>
              </c:numCache>
            </c:numRef>
          </c:val>
          <c:smooth val="0"/>
          <c:extLst>
            <c:ext xmlns:c16="http://schemas.microsoft.com/office/drawing/2014/chart" uri="{C3380CC4-5D6E-409C-BE32-E72D297353CC}">
              <c16:uniqueId val="{00000001-E1FC-5145-B88B-8D9DBD77AB7B}"/>
            </c:ext>
          </c:extLst>
        </c:ser>
        <c:dLbls>
          <c:showLegendKey val="0"/>
          <c:showVal val="0"/>
          <c:showCatName val="0"/>
          <c:showSerName val="0"/>
          <c:showPercent val="0"/>
          <c:showBubbleSize val="0"/>
        </c:dLbls>
        <c:smooth val="0"/>
        <c:axId val="39607456"/>
        <c:axId val="39609168"/>
      </c:lineChart>
      <c:catAx>
        <c:axId val="39607456"/>
        <c:scaling>
          <c:orientation val="minMax"/>
        </c:scaling>
        <c:delete val="0"/>
        <c:axPos val="b"/>
        <c:numFmt formatCode="&quot;FY&quot;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39609168"/>
        <c:crosses val="autoZero"/>
        <c:auto val="1"/>
        <c:lblAlgn val="ctr"/>
        <c:lblOffset val="100"/>
        <c:noMultiLvlLbl val="0"/>
      </c:catAx>
      <c:valAx>
        <c:axId val="39609168"/>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39607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EOSE</a:t>
            </a:r>
            <a:r>
              <a:rPr lang="en-US" baseline="0"/>
              <a:t> Price from Jun 2025 - Now</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'Stock Price'!$D$6</c:f>
              <c:strCache>
                <c:ptCount val="1"/>
                <c:pt idx="0">
                  <c:v>Open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'Stock Price'!$C$7:$C$116</c:f>
              <c:numCache>
                <c:formatCode>m/d/yy</c:formatCode>
                <c:ptCount val="110"/>
                <c:pt idx="0">
                  <c:v>45966</c:v>
                </c:pt>
                <c:pt idx="1">
                  <c:v>45965</c:v>
                </c:pt>
                <c:pt idx="2">
                  <c:v>45964</c:v>
                </c:pt>
                <c:pt idx="3">
                  <c:v>45961</c:v>
                </c:pt>
                <c:pt idx="4">
                  <c:v>45960</c:v>
                </c:pt>
                <c:pt idx="5">
                  <c:v>45959</c:v>
                </c:pt>
                <c:pt idx="6">
                  <c:v>45958</c:v>
                </c:pt>
                <c:pt idx="7">
                  <c:v>45957</c:v>
                </c:pt>
                <c:pt idx="8">
                  <c:v>45954</c:v>
                </c:pt>
                <c:pt idx="9">
                  <c:v>45953</c:v>
                </c:pt>
                <c:pt idx="10">
                  <c:v>45952</c:v>
                </c:pt>
                <c:pt idx="11">
                  <c:v>45951</c:v>
                </c:pt>
                <c:pt idx="12">
                  <c:v>45950</c:v>
                </c:pt>
                <c:pt idx="13">
                  <c:v>45947</c:v>
                </c:pt>
                <c:pt idx="14">
                  <c:v>45946</c:v>
                </c:pt>
                <c:pt idx="15">
                  <c:v>45945</c:v>
                </c:pt>
                <c:pt idx="16">
                  <c:v>45944</c:v>
                </c:pt>
                <c:pt idx="17">
                  <c:v>45943</c:v>
                </c:pt>
                <c:pt idx="18">
                  <c:v>45940</c:v>
                </c:pt>
                <c:pt idx="19">
                  <c:v>45939</c:v>
                </c:pt>
                <c:pt idx="20">
                  <c:v>45938</c:v>
                </c:pt>
                <c:pt idx="21">
                  <c:v>45937</c:v>
                </c:pt>
                <c:pt idx="22">
                  <c:v>45936</c:v>
                </c:pt>
                <c:pt idx="23">
                  <c:v>45933</c:v>
                </c:pt>
                <c:pt idx="24">
                  <c:v>45932</c:v>
                </c:pt>
                <c:pt idx="25">
                  <c:v>45931</c:v>
                </c:pt>
                <c:pt idx="26">
                  <c:v>45930</c:v>
                </c:pt>
                <c:pt idx="27">
                  <c:v>45929</c:v>
                </c:pt>
                <c:pt idx="28">
                  <c:v>45926</c:v>
                </c:pt>
                <c:pt idx="29">
                  <c:v>45925</c:v>
                </c:pt>
                <c:pt idx="30">
                  <c:v>45924</c:v>
                </c:pt>
                <c:pt idx="31">
                  <c:v>45923</c:v>
                </c:pt>
                <c:pt idx="32">
                  <c:v>45922</c:v>
                </c:pt>
                <c:pt idx="33">
                  <c:v>45919</c:v>
                </c:pt>
                <c:pt idx="34">
                  <c:v>45918</c:v>
                </c:pt>
                <c:pt idx="35">
                  <c:v>45917</c:v>
                </c:pt>
                <c:pt idx="36">
                  <c:v>45916</c:v>
                </c:pt>
                <c:pt idx="37">
                  <c:v>45915</c:v>
                </c:pt>
                <c:pt idx="38">
                  <c:v>45912</c:v>
                </c:pt>
                <c:pt idx="39">
                  <c:v>45911</c:v>
                </c:pt>
                <c:pt idx="40">
                  <c:v>45910</c:v>
                </c:pt>
                <c:pt idx="41">
                  <c:v>45909</c:v>
                </c:pt>
                <c:pt idx="42">
                  <c:v>45908</c:v>
                </c:pt>
                <c:pt idx="43">
                  <c:v>45905</c:v>
                </c:pt>
                <c:pt idx="44">
                  <c:v>45904</c:v>
                </c:pt>
                <c:pt idx="45">
                  <c:v>45903</c:v>
                </c:pt>
                <c:pt idx="46">
                  <c:v>45902</c:v>
                </c:pt>
                <c:pt idx="47">
                  <c:v>45898</c:v>
                </c:pt>
                <c:pt idx="48">
                  <c:v>45897</c:v>
                </c:pt>
                <c:pt idx="49">
                  <c:v>45896</c:v>
                </c:pt>
                <c:pt idx="50">
                  <c:v>45895</c:v>
                </c:pt>
                <c:pt idx="51">
                  <c:v>45894</c:v>
                </c:pt>
                <c:pt idx="52">
                  <c:v>45891</c:v>
                </c:pt>
                <c:pt idx="53">
                  <c:v>45890</c:v>
                </c:pt>
                <c:pt idx="54">
                  <c:v>45889</c:v>
                </c:pt>
                <c:pt idx="55">
                  <c:v>45888</c:v>
                </c:pt>
                <c:pt idx="56">
                  <c:v>45887</c:v>
                </c:pt>
                <c:pt idx="57">
                  <c:v>45884</c:v>
                </c:pt>
                <c:pt idx="58">
                  <c:v>45883</c:v>
                </c:pt>
                <c:pt idx="59">
                  <c:v>45882</c:v>
                </c:pt>
                <c:pt idx="60">
                  <c:v>45881</c:v>
                </c:pt>
                <c:pt idx="61">
                  <c:v>45880</c:v>
                </c:pt>
                <c:pt idx="62">
                  <c:v>45877</c:v>
                </c:pt>
                <c:pt idx="63">
                  <c:v>45876</c:v>
                </c:pt>
                <c:pt idx="64">
                  <c:v>45875</c:v>
                </c:pt>
                <c:pt idx="65">
                  <c:v>45874</c:v>
                </c:pt>
                <c:pt idx="66">
                  <c:v>45873</c:v>
                </c:pt>
                <c:pt idx="67">
                  <c:v>45870</c:v>
                </c:pt>
                <c:pt idx="68">
                  <c:v>45869</c:v>
                </c:pt>
                <c:pt idx="69">
                  <c:v>45868</c:v>
                </c:pt>
                <c:pt idx="70">
                  <c:v>45867</c:v>
                </c:pt>
                <c:pt idx="71">
                  <c:v>45866</c:v>
                </c:pt>
                <c:pt idx="72">
                  <c:v>45863</c:v>
                </c:pt>
                <c:pt idx="73">
                  <c:v>45862</c:v>
                </c:pt>
                <c:pt idx="74">
                  <c:v>45861</c:v>
                </c:pt>
                <c:pt idx="75">
                  <c:v>45860</c:v>
                </c:pt>
                <c:pt idx="76">
                  <c:v>45859</c:v>
                </c:pt>
                <c:pt idx="77">
                  <c:v>45856</c:v>
                </c:pt>
                <c:pt idx="78">
                  <c:v>45855</c:v>
                </c:pt>
                <c:pt idx="79">
                  <c:v>45854</c:v>
                </c:pt>
                <c:pt idx="80">
                  <c:v>45853</c:v>
                </c:pt>
                <c:pt idx="81">
                  <c:v>45852</c:v>
                </c:pt>
                <c:pt idx="82">
                  <c:v>45849</c:v>
                </c:pt>
                <c:pt idx="83">
                  <c:v>45848</c:v>
                </c:pt>
                <c:pt idx="84">
                  <c:v>45847</c:v>
                </c:pt>
                <c:pt idx="85">
                  <c:v>45846</c:v>
                </c:pt>
                <c:pt idx="86">
                  <c:v>45845</c:v>
                </c:pt>
                <c:pt idx="87">
                  <c:v>45841</c:v>
                </c:pt>
                <c:pt idx="88">
                  <c:v>45840</c:v>
                </c:pt>
                <c:pt idx="89">
                  <c:v>45839</c:v>
                </c:pt>
                <c:pt idx="90">
                  <c:v>45838</c:v>
                </c:pt>
                <c:pt idx="91">
                  <c:v>45835</c:v>
                </c:pt>
                <c:pt idx="92">
                  <c:v>45834</c:v>
                </c:pt>
                <c:pt idx="93">
                  <c:v>45833</c:v>
                </c:pt>
                <c:pt idx="94">
                  <c:v>45832</c:v>
                </c:pt>
                <c:pt idx="95">
                  <c:v>45831</c:v>
                </c:pt>
                <c:pt idx="96">
                  <c:v>45828</c:v>
                </c:pt>
                <c:pt idx="97">
                  <c:v>45826</c:v>
                </c:pt>
                <c:pt idx="98">
                  <c:v>45825</c:v>
                </c:pt>
                <c:pt idx="99">
                  <c:v>45824</c:v>
                </c:pt>
                <c:pt idx="100">
                  <c:v>45821</c:v>
                </c:pt>
                <c:pt idx="101">
                  <c:v>45820</c:v>
                </c:pt>
                <c:pt idx="102">
                  <c:v>45819</c:v>
                </c:pt>
                <c:pt idx="103">
                  <c:v>45818</c:v>
                </c:pt>
                <c:pt idx="104">
                  <c:v>45817</c:v>
                </c:pt>
                <c:pt idx="105">
                  <c:v>45814</c:v>
                </c:pt>
                <c:pt idx="106">
                  <c:v>45813</c:v>
                </c:pt>
                <c:pt idx="107">
                  <c:v>45812</c:v>
                </c:pt>
                <c:pt idx="108">
                  <c:v>45811</c:v>
                </c:pt>
                <c:pt idx="109">
                  <c:v>45810</c:v>
                </c:pt>
              </c:numCache>
            </c:numRef>
          </c:cat>
          <c:val>
            <c:numRef>
              <c:f>'Stock Price'!$D$7:$D$116</c:f>
            </c:numRef>
          </c:val>
          <c:smooth val="0"/>
          <c:extLst>
            <c:ext xmlns:c16="http://schemas.microsoft.com/office/drawing/2014/chart" uri="{C3380CC4-5D6E-409C-BE32-E72D297353CC}">
              <c16:uniqueId val="{00000000-7732-D548-BC9D-F1613E78EECE}"/>
            </c:ext>
          </c:extLst>
        </c:ser>
        <c:ser>
          <c:idx val="1"/>
          <c:order val="1"/>
          <c:tx>
            <c:strRef>
              <c:f>'Stock Price'!$E$6</c:f>
              <c:strCache>
                <c:ptCount val="1"/>
                <c:pt idx="0">
                  <c:v>High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'Stock Price'!$C$7:$C$116</c:f>
              <c:numCache>
                <c:formatCode>m/d/yy</c:formatCode>
                <c:ptCount val="110"/>
                <c:pt idx="0">
                  <c:v>45966</c:v>
                </c:pt>
                <c:pt idx="1">
                  <c:v>45965</c:v>
                </c:pt>
                <c:pt idx="2">
                  <c:v>45964</c:v>
                </c:pt>
                <c:pt idx="3">
                  <c:v>45961</c:v>
                </c:pt>
                <c:pt idx="4">
                  <c:v>45960</c:v>
                </c:pt>
                <c:pt idx="5">
                  <c:v>45959</c:v>
                </c:pt>
                <c:pt idx="6">
                  <c:v>45958</c:v>
                </c:pt>
                <c:pt idx="7">
                  <c:v>45957</c:v>
                </c:pt>
                <c:pt idx="8">
                  <c:v>45954</c:v>
                </c:pt>
                <c:pt idx="9">
                  <c:v>45953</c:v>
                </c:pt>
                <c:pt idx="10">
                  <c:v>45952</c:v>
                </c:pt>
                <c:pt idx="11">
                  <c:v>45951</c:v>
                </c:pt>
                <c:pt idx="12">
                  <c:v>45950</c:v>
                </c:pt>
                <c:pt idx="13">
                  <c:v>45947</c:v>
                </c:pt>
                <c:pt idx="14">
                  <c:v>45946</c:v>
                </c:pt>
                <c:pt idx="15">
                  <c:v>45945</c:v>
                </c:pt>
                <c:pt idx="16">
                  <c:v>45944</c:v>
                </c:pt>
                <c:pt idx="17">
                  <c:v>45943</c:v>
                </c:pt>
                <c:pt idx="18">
                  <c:v>45940</c:v>
                </c:pt>
                <c:pt idx="19">
                  <c:v>45939</c:v>
                </c:pt>
                <c:pt idx="20">
                  <c:v>45938</c:v>
                </c:pt>
                <c:pt idx="21">
                  <c:v>45937</c:v>
                </c:pt>
                <c:pt idx="22">
                  <c:v>45936</c:v>
                </c:pt>
                <c:pt idx="23">
                  <c:v>45933</c:v>
                </c:pt>
                <c:pt idx="24">
                  <c:v>45932</c:v>
                </c:pt>
                <c:pt idx="25">
                  <c:v>45931</c:v>
                </c:pt>
                <c:pt idx="26">
                  <c:v>45930</c:v>
                </c:pt>
                <c:pt idx="27">
                  <c:v>45929</c:v>
                </c:pt>
                <c:pt idx="28">
                  <c:v>45926</c:v>
                </c:pt>
                <c:pt idx="29">
                  <c:v>45925</c:v>
                </c:pt>
                <c:pt idx="30">
                  <c:v>45924</c:v>
                </c:pt>
                <c:pt idx="31">
                  <c:v>45923</c:v>
                </c:pt>
                <c:pt idx="32">
                  <c:v>45922</c:v>
                </c:pt>
                <c:pt idx="33">
                  <c:v>45919</c:v>
                </c:pt>
                <c:pt idx="34">
                  <c:v>45918</c:v>
                </c:pt>
                <c:pt idx="35">
                  <c:v>45917</c:v>
                </c:pt>
                <c:pt idx="36">
                  <c:v>45916</c:v>
                </c:pt>
                <c:pt idx="37">
                  <c:v>45915</c:v>
                </c:pt>
                <c:pt idx="38">
                  <c:v>45912</c:v>
                </c:pt>
                <c:pt idx="39">
                  <c:v>45911</c:v>
                </c:pt>
                <c:pt idx="40">
                  <c:v>45910</c:v>
                </c:pt>
                <c:pt idx="41">
                  <c:v>45909</c:v>
                </c:pt>
                <c:pt idx="42">
                  <c:v>45908</c:v>
                </c:pt>
                <c:pt idx="43">
                  <c:v>45905</c:v>
                </c:pt>
                <c:pt idx="44">
                  <c:v>45904</c:v>
                </c:pt>
                <c:pt idx="45">
                  <c:v>45903</c:v>
                </c:pt>
                <c:pt idx="46">
                  <c:v>45902</c:v>
                </c:pt>
                <c:pt idx="47">
                  <c:v>45898</c:v>
                </c:pt>
                <c:pt idx="48">
                  <c:v>45897</c:v>
                </c:pt>
                <c:pt idx="49">
                  <c:v>45896</c:v>
                </c:pt>
                <c:pt idx="50">
                  <c:v>45895</c:v>
                </c:pt>
                <c:pt idx="51">
                  <c:v>45894</c:v>
                </c:pt>
                <c:pt idx="52">
                  <c:v>45891</c:v>
                </c:pt>
                <c:pt idx="53">
                  <c:v>45890</c:v>
                </c:pt>
                <c:pt idx="54">
                  <c:v>45889</c:v>
                </c:pt>
                <c:pt idx="55">
                  <c:v>45888</c:v>
                </c:pt>
                <c:pt idx="56">
                  <c:v>45887</c:v>
                </c:pt>
                <c:pt idx="57">
                  <c:v>45884</c:v>
                </c:pt>
                <c:pt idx="58">
                  <c:v>45883</c:v>
                </c:pt>
                <c:pt idx="59">
                  <c:v>45882</c:v>
                </c:pt>
                <c:pt idx="60">
                  <c:v>45881</c:v>
                </c:pt>
                <c:pt idx="61">
                  <c:v>45880</c:v>
                </c:pt>
                <c:pt idx="62">
                  <c:v>45877</c:v>
                </c:pt>
                <c:pt idx="63">
                  <c:v>45876</c:v>
                </c:pt>
                <c:pt idx="64">
                  <c:v>45875</c:v>
                </c:pt>
                <c:pt idx="65">
                  <c:v>45874</c:v>
                </c:pt>
                <c:pt idx="66">
                  <c:v>45873</c:v>
                </c:pt>
                <c:pt idx="67">
                  <c:v>45870</c:v>
                </c:pt>
                <c:pt idx="68">
                  <c:v>45869</c:v>
                </c:pt>
                <c:pt idx="69">
                  <c:v>45868</c:v>
                </c:pt>
                <c:pt idx="70">
                  <c:v>45867</c:v>
                </c:pt>
                <c:pt idx="71">
                  <c:v>45866</c:v>
                </c:pt>
                <c:pt idx="72">
                  <c:v>45863</c:v>
                </c:pt>
                <c:pt idx="73">
                  <c:v>45862</c:v>
                </c:pt>
                <c:pt idx="74">
                  <c:v>45861</c:v>
                </c:pt>
                <c:pt idx="75">
                  <c:v>45860</c:v>
                </c:pt>
                <c:pt idx="76">
                  <c:v>45859</c:v>
                </c:pt>
                <c:pt idx="77">
                  <c:v>45856</c:v>
                </c:pt>
                <c:pt idx="78">
                  <c:v>45855</c:v>
                </c:pt>
                <c:pt idx="79">
                  <c:v>45854</c:v>
                </c:pt>
                <c:pt idx="80">
                  <c:v>45853</c:v>
                </c:pt>
                <c:pt idx="81">
                  <c:v>45852</c:v>
                </c:pt>
                <c:pt idx="82">
                  <c:v>45849</c:v>
                </c:pt>
                <c:pt idx="83">
                  <c:v>45848</c:v>
                </c:pt>
                <c:pt idx="84">
                  <c:v>45847</c:v>
                </c:pt>
                <c:pt idx="85">
                  <c:v>45846</c:v>
                </c:pt>
                <c:pt idx="86">
                  <c:v>45845</c:v>
                </c:pt>
                <c:pt idx="87">
                  <c:v>45841</c:v>
                </c:pt>
                <c:pt idx="88">
                  <c:v>45840</c:v>
                </c:pt>
                <c:pt idx="89">
                  <c:v>45839</c:v>
                </c:pt>
                <c:pt idx="90">
                  <c:v>45838</c:v>
                </c:pt>
                <c:pt idx="91">
                  <c:v>45835</c:v>
                </c:pt>
                <c:pt idx="92">
                  <c:v>45834</c:v>
                </c:pt>
                <c:pt idx="93">
                  <c:v>45833</c:v>
                </c:pt>
                <c:pt idx="94">
                  <c:v>45832</c:v>
                </c:pt>
                <c:pt idx="95">
                  <c:v>45831</c:v>
                </c:pt>
                <c:pt idx="96">
                  <c:v>45828</c:v>
                </c:pt>
                <c:pt idx="97">
                  <c:v>45826</c:v>
                </c:pt>
                <c:pt idx="98">
                  <c:v>45825</c:v>
                </c:pt>
                <c:pt idx="99">
                  <c:v>45824</c:v>
                </c:pt>
                <c:pt idx="100">
                  <c:v>45821</c:v>
                </c:pt>
                <c:pt idx="101">
                  <c:v>45820</c:v>
                </c:pt>
                <c:pt idx="102">
                  <c:v>45819</c:v>
                </c:pt>
                <c:pt idx="103">
                  <c:v>45818</c:v>
                </c:pt>
                <c:pt idx="104">
                  <c:v>45817</c:v>
                </c:pt>
                <c:pt idx="105">
                  <c:v>45814</c:v>
                </c:pt>
                <c:pt idx="106">
                  <c:v>45813</c:v>
                </c:pt>
                <c:pt idx="107">
                  <c:v>45812</c:v>
                </c:pt>
                <c:pt idx="108">
                  <c:v>45811</c:v>
                </c:pt>
                <c:pt idx="109">
                  <c:v>45810</c:v>
                </c:pt>
              </c:numCache>
            </c:numRef>
          </c:cat>
          <c:val>
            <c:numRef>
              <c:f>'Stock Price'!$E$7:$E$116</c:f>
            </c:numRef>
          </c:val>
          <c:smooth val="0"/>
          <c:extLst>
            <c:ext xmlns:c16="http://schemas.microsoft.com/office/drawing/2014/chart" uri="{C3380CC4-5D6E-409C-BE32-E72D297353CC}">
              <c16:uniqueId val="{00000001-7732-D548-BC9D-F1613E78EECE}"/>
            </c:ext>
          </c:extLst>
        </c:ser>
        <c:ser>
          <c:idx val="2"/>
          <c:order val="2"/>
          <c:tx>
            <c:strRef>
              <c:f>'Stock Price'!$F$6</c:f>
              <c:strCache>
                <c:ptCount val="1"/>
                <c:pt idx="0">
                  <c:v>Low</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'Stock Price'!$C$7:$C$116</c:f>
              <c:numCache>
                <c:formatCode>m/d/yy</c:formatCode>
                <c:ptCount val="110"/>
                <c:pt idx="0">
                  <c:v>45966</c:v>
                </c:pt>
                <c:pt idx="1">
                  <c:v>45965</c:v>
                </c:pt>
                <c:pt idx="2">
                  <c:v>45964</c:v>
                </c:pt>
                <c:pt idx="3">
                  <c:v>45961</c:v>
                </c:pt>
                <c:pt idx="4">
                  <c:v>45960</c:v>
                </c:pt>
                <c:pt idx="5">
                  <c:v>45959</c:v>
                </c:pt>
                <c:pt idx="6">
                  <c:v>45958</c:v>
                </c:pt>
                <c:pt idx="7">
                  <c:v>45957</c:v>
                </c:pt>
                <c:pt idx="8">
                  <c:v>45954</c:v>
                </c:pt>
                <c:pt idx="9">
                  <c:v>45953</c:v>
                </c:pt>
                <c:pt idx="10">
                  <c:v>45952</c:v>
                </c:pt>
                <c:pt idx="11">
                  <c:v>45951</c:v>
                </c:pt>
                <c:pt idx="12">
                  <c:v>45950</c:v>
                </c:pt>
                <c:pt idx="13">
                  <c:v>45947</c:v>
                </c:pt>
                <c:pt idx="14">
                  <c:v>45946</c:v>
                </c:pt>
                <c:pt idx="15">
                  <c:v>45945</c:v>
                </c:pt>
                <c:pt idx="16">
                  <c:v>45944</c:v>
                </c:pt>
                <c:pt idx="17">
                  <c:v>45943</c:v>
                </c:pt>
                <c:pt idx="18">
                  <c:v>45940</c:v>
                </c:pt>
                <c:pt idx="19">
                  <c:v>45939</c:v>
                </c:pt>
                <c:pt idx="20">
                  <c:v>45938</c:v>
                </c:pt>
                <c:pt idx="21">
                  <c:v>45937</c:v>
                </c:pt>
                <c:pt idx="22">
                  <c:v>45936</c:v>
                </c:pt>
                <c:pt idx="23">
                  <c:v>45933</c:v>
                </c:pt>
                <c:pt idx="24">
                  <c:v>45932</c:v>
                </c:pt>
                <c:pt idx="25">
                  <c:v>45931</c:v>
                </c:pt>
                <c:pt idx="26">
                  <c:v>45930</c:v>
                </c:pt>
                <c:pt idx="27">
                  <c:v>45929</c:v>
                </c:pt>
                <c:pt idx="28">
                  <c:v>45926</c:v>
                </c:pt>
                <c:pt idx="29">
                  <c:v>45925</c:v>
                </c:pt>
                <c:pt idx="30">
                  <c:v>45924</c:v>
                </c:pt>
                <c:pt idx="31">
                  <c:v>45923</c:v>
                </c:pt>
                <c:pt idx="32">
                  <c:v>45922</c:v>
                </c:pt>
                <c:pt idx="33">
                  <c:v>45919</c:v>
                </c:pt>
                <c:pt idx="34">
                  <c:v>45918</c:v>
                </c:pt>
                <c:pt idx="35">
                  <c:v>45917</c:v>
                </c:pt>
                <c:pt idx="36">
                  <c:v>45916</c:v>
                </c:pt>
                <c:pt idx="37">
                  <c:v>45915</c:v>
                </c:pt>
                <c:pt idx="38">
                  <c:v>45912</c:v>
                </c:pt>
                <c:pt idx="39">
                  <c:v>45911</c:v>
                </c:pt>
                <c:pt idx="40">
                  <c:v>45910</c:v>
                </c:pt>
                <c:pt idx="41">
                  <c:v>45909</c:v>
                </c:pt>
                <c:pt idx="42">
                  <c:v>45908</c:v>
                </c:pt>
                <c:pt idx="43">
                  <c:v>45905</c:v>
                </c:pt>
                <c:pt idx="44">
                  <c:v>45904</c:v>
                </c:pt>
                <c:pt idx="45">
                  <c:v>45903</c:v>
                </c:pt>
                <c:pt idx="46">
                  <c:v>45902</c:v>
                </c:pt>
                <c:pt idx="47">
                  <c:v>45898</c:v>
                </c:pt>
                <c:pt idx="48">
                  <c:v>45897</c:v>
                </c:pt>
                <c:pt idx="49">
                  <c:v>45896</c:v>
                </c:pt>
                <c:pt idx="50">
                  <c:v>45895</c:v>
                </c:pt>
                <c:pt idx="51">
                  <c:v>45894</c:v>
                </c:pt>
                <c:pt idx="52">
                  <c:v>45891</c:v>
                </c:pt>
                <c:pt idx="53">
                  <c:v>45890</c:v>
                </c:pt>
                <c:pt idx="54">
                  <c:v>45889</c:v>
                </c:pt>
                <c:pt idx="55">
                  <c:v>45888</c:v>
                </c:pt>
                <c:pt idx="56">
                  <c:v>45887</c:v>
                </c:pt>
                <c:pt idx="57">
                  <c:v>45884</c:v>
                </c:pt>
                <c:pt idx="58">
                  <c:v>45883</c:v>
                </c:pt>
                <c:pt idx="59">
                  <c:v>45882</c:v>
                </c:pt>
                <c:pt idx="60">
                  <c:v>45881</c:v>
                </c:pt>
                <c:pt idx="61">
                  <c:v>45880</c:v>
                </c:pt>
                <c:pt idx="62">
                  <c:v>45877</c:v>
                </c:pt>
                <c:pt idx="63">
                  <c:v>45876</c:v>
                </c:pt>
                <c:pt idx="64">
                  <c:v>45875</c:v>
                </c:pt>
                <c:pt idx="65">
                  <c:v>45874</c:v>
                </c:pt>
                <c:pt idx="66">
                  <c:v>45873</c:v>
                </c:pt>
                <c:pt idx="67">
                  <c:v>45870</c:v>
                </c:pt>
                <c:pt idx="68">
                  <c:v>45869</c:v>
                </c:pt>
                <c:pt idx="69">
                  <c:v>45868</c:v>
                </c:pt>
                <c:pt idx="70">
                  <c:v>45867</c:v>
                </c:pt>
                <c:pt idx="71">
                  <c:v>45866</c:v>
                </c:pt>
                <c:pt idx="72">
                  <c:v>45863</c:v>
                </c:pt>
                <c:pt idx="73">
                  <c:v>45862</c:v>
                </c:pt>
                <c:pt idx="74">
                  <c:v>45861</c:v>
                </c:pt>
                <c:pt idx="75">
                  <c:v>45860</c:v>
                </c:pt>
                <c:pt idx="76">
                  <c:v>45859</c:v>
                </c:pt>
                <c:pt idx="77">
                  <c:v>45856</c:v>
                </c:pt>
                <c:pt idx="78">
                  <c:v>45855</c:v>
                </c:pt>
                <c:pt idx="79">
                  <c:v>45854</c:v>
                </c:pt>
                <c:pt idx="80">
                  <c:v>45853</c:v>
                </c:pt>
                <c:pt idx="81">
                  <c:v>45852</c:v>
                </c:pt>
                <c:pt idx="82">
                  <c:v>45849</c:v>
                </c:pt>
                <c:pt idx="83">
                  <c:v>45848</c:v>
                </c:pt>
                <c:pt idx="84">
                  <c:v>45847</c:v>
                </c:pt>
                <c:pt idx="85">
                  <c:v>45846</c:v>
                </c:pt>
                <c:pt idx="86">
                  <c:v>45845</c:v>
                </c:pt>
                <c:pt idx="87">
                  <c:v>45841</c:v>
                </c:pt>
                <c:pt idx="88">
                  <c:v>45840</c:v>
                </c:pt>
                <c:pt idx="89">
                  <c:v>45839</c:v>
                </c:pt>
                <c:pt idx="90">
                  <c:v>45838</c:v>
                </c:pt>
                <c:pt idx="91">
                  <c:v>45835</c:v>
                </c:pt>
                <c:pt idx="92">
                  <c:v>45834</c:v>
                </c:pt>
                <c:pt idx="93">
                  <c:v>45833</c:v>
                </c:pt>
                <c:pt idx="94">
                  <c:v>45832</c:v>
                </c:pt>
                <c:pt idx="95">
                  <c:v>45831</c:v>
                </c:pt>
                <c:pt idx="96">
                  <c:v>45828</c:v>
                </c:pt>
                <c:pt idx="97">
                  <c:v>45826</c:v>
                </c:pt>
                <c:pt idx="98">
                  <c:v>45825</c:v>
                </c:pt>
                <c:pt idx="99">
                  <c:v>45824</c:v>
                </c:pt>
                <c:pt idx="100">
                  <c:v>45821</c:v>
                </c:pt>
                <c:pt idx="101">
                  <c:v>45820</c:v>
                </c:pt>
                <c:pt idx="102">
                  <c:v>45819</c:v>
                </c:pt>
                <c:pt idx="103">
                  <c:v>45818</c:v>
                </c:pt>
                <c:pt idx="104">
                  <c:v>45817</c:v>
                </c:pt>
                <c:pt idx="105">
                  <c:v>45814</c:v>
                </c:pt>
                <c:pt idx="106">
                  <c:v>45813</c:v>
                </c:pt>
                <c:pt idx="107">
                  <c:v>45812</c:v>
                </c:pt>
                <c:pt idx="108">
                  <c:v>45811</c:v>
                </c:pt>
                <c:pt idx="109">
                  <c:v>45810</c:v>
                </c:pt>
              </c:numCache>
            </c:numRef>
          </c:cat>
          <c:val>
            <c:numRef>
              <c:f>'Stock Price'!$F$7:$F$116</c:f>
            </c:numRef>
          </c:val>
          <c:smooth val="0"/>
          <c:extLst>
            <c:ext xmlns:c16="http://schemas.microsoft.com/office/drawing/2014/chart" uri="{C3380CC4-5D6E-409C-BE32-E72D297353CC}">
              <c16:uniqueId val="{00000002-7732-D548-BC9D-F1613E78EECE}"/>
            </c:ext>
          </c:extLst>
        </c:ser>
        <c:ser>
          <c:idx val="3"/>
          <c:order val="3"/>
          <c:tx>
            <c:strRef>
              <c:f>'Stock Price'!$G$6</c:f>
              <c:strCache>
                <c:ptCount val="1"/>
                <c:pt idx="0">
                  <c:v>Close</c:v>
                </c:pt>
              </c:strCache>
            </c:strRef>
          </c:tx>
          <c:spPr>
            <a:ln w="28575" cap="rnd">
              <a:solidFill>
                <a:schemeClr val="accent4"/>
              </a:solidFill>
              <a:round/>
            </a:ln>
            <a:effectLst/>
          </c:spPr>
          <c:marker>
            <c:symbol val="none"/>
          </c:marker>
          <c:cat>
            <c:numRef>
              <c:f>'Stock Price'!$C$7:$C$116</c:f>
              <c:numCache>
                <c:formatCode>m/d/yy</c:formatCode>
                <c:ptCount val="110"/>
                <c:pt idx="0">
                  <c:v>45966</c:v>
                </c:pt>
                <c:pt idx="1">
                  <c:v>45965</c:v>
                </c:pt>
                <c:pt idx="2">
                  <c:v>45964</c:v>
                </c:pt>
                <c:pt idx="3">
                  <c:v>45961</c:v>
                </c:pt>
                <c:pt idx="4">
                  <c:v>45960</c:v>
                </c:pt>
                <c:pt idx="5">
                  <c:v>45959</c:v>
                </c:pt>
                <c:pt idx="6">
                  <c:v>45958</c:v>
                </c:pt>
                <c:pt idx="7">
                  <c:v>45957</c:v>
                </c:pt>
                <c:pt idx="8">
                  <c:v>45954</c:v>
                </c:pt>
                <c:pt idx="9">
                  <c:v>45953</c:v>
                </c:pt>
                <c:pt idx="10">
                  <c:v>45952</c:v>
                </c:pt>
                <c:pt idx="11">
                  <c:v>45951</c:v>
                </c:pt>
                <c:pt idx="12">
                  <c:v>45950</c:v>
                </c:pt>
                <c:pt idx="13">
                  <c:v>45947</c:v>
                </c:pt>
                <c:pt idx="14">
                  <c:v>45946</c:v>
                </c:pt>
                <c:pt idx="15">
                  <c:v>45945</c:v>
                </c:pt>
                <c:pt idx="16">
                  <c:v>45944</c:v>
                </c:pt>
                <c:pt idx="17">
                  <c:v>45943</c:v>
                </c:pt>
                <c:pt idx="18">
                  <c:v>45940</c:v>
                </c:pt>
                <c:pt idx="19">
                  <c:v>45939</c:v>
                </c:pt>
                <c:pt idx="20">
                  <c:v>45938</c:v>
                </c:pt>
                <c:pt idx="21">
                  <c:v>45937</c:v>
                </c:pt>
                <c:pt idx="22">
                  <c:v>45936</c:v>
                </c:pt>
                <c:pt idx="23">
                  <c:v>45933</c:v>
                </c:pt>
                <c:pt idx="24">
                  <c:v>45932</c:v>
                </c:pt>
                <c:pt idx="25">
                  <c:v>45931</c:v>
                </c:pt>
                <c:pt idx="26">
                  <c:v>45930</c:v>
                </c:pt>
                <c:pt idx="27">
                  <c:v>45929</c:v>
                </c:pt>
                <c:pt idx="28">
                  <c:v>45926</c:v>
                </c:pt>
                <c:pt idx="29">
                  <c:v>45925</c:v>
                </c:pt>
                <c:pt idx="30">
                  <c:v>45924</c:v>
                </c:pt>
                <c:pt idx="31">
                  <c:v>45923</c:v>
                </c:pt>
                <c:pt idx="32">
                  <c:v>45922</c:v>
                </c:pt>
                <c:pt idx="33">
                  <c:v>45919</c:v>
                </c:pt>
                <c:pt idx="34">
                  <c:v>45918</c:v>
                </c:pt>
                <c:pt idx="35">
                  <c:v>45917</c:v>
                </c:pt>
                <c:pt idx="36">
                  <c:v>45916</c:v>
                </c:pt>
                <c:pt idx="37">
                  <c:v>45915</c:v>
                </c:pt>
                <c:pt idx="38">
                  <c:v>45912</c:v>
                </c:pt>
                <c:pt idx="39">
                  <c:v>45911</c:v>
                </c:pt>
                <c:pt idx="40">
                  <c:v>45910</c:v>
                </c:pt>
                <c:pt idx="41">
                  <c:v>45909</c:v>
                </c:pt>
                <c:pt idx="42">
                  <c:v>45908</c:v>
                </c:pt>
                <c:pt idx="43">
                  <c:v>45905</c:v>
                </c:pt>
                <c:pt idx="44">
                  <c:v>45904</c:v>
                </c:pt>
                <c:pt idx="45">
                  <c:v>45903</c:v>
                </c:pt>
                <c:pt idx="46">
                  <c:v>45902</c:v>
                </c:pt>
                <c:pt idx="47">
                  <c:v>45898</c:v>
                </c:pt>
                <c:pt idx="48">
                  <c:v>45897</c:v>
                </c:pt>
                <c:pt idx="49">
                  <c:v>45896</c:v>
                </c:pt>
                <c:pt idx="50">
                  <c:v>45895</c:v>
                </c:pt>
                <c:pt idx="51">
                  <c:v>45894</c:v>
                </c:pt>
                <c:pt idx="52">
                  <c:v>45891</c:v>
                </c:pt>
                <c:pt idx="53">
                  <c:v>45890</c:v>
                </c:pt>
                <c:pt idx="54">
                  <c:v>45889</c:v>
                </c:pt>
                <c:pt idx="55">
                  <c:v>45888</c:v>
                </c:pt>
                <c:pt idx="56">
                  <c:v>45887</c:v>
                </c:pt>
                <c:pt idx="57">
                  <c:v>45884</c:v>
                </c:pt>
                <c:pt idx="58">
                  <c:v>45883</c:v>
                </c:pt>
                <c:pt idx="59">
                  <c:v>45882</c:v>
                </c:pt>
                <c:pt idx="60">
                  <c:v>45881</c:v>
                </c:pt>
                <c:pt idx="61">
                  <c:v>45880</c:v>
                </c:pt>
                <c:pt idx="62">
                  <c:v>45877</c:v>
                </c:pt>
                <c:pt idx="63">
                  <c:v>45876</c:v>
                </c:pt>
                <c:pt idx="64">
                  <c:v>45875</c:v>
                </c:pt>
                <c:pt idx="65">
                  <c:v>45874</c:v>
                </c:pt>
                <c:pt idx="66">
                  <c:v>45873</c:v>
                </c:pt>
                <c:pt idx="67">
                  <c:v>45870</c:v>
                </c:pt>
                <c:pt idx="68">
                  <c:v>45869</c:v>
                </c:pt>
                <c:pt idx="69">
                  <c:v>45868</c:v>
                </c:pt>
                <c:pt idx="70">
                  <c:v>45867</c:v>
                </c:pt>
                <c:pt idx="71">
                  <c:v>45866</c:v>
                </c:pt>
                <c:pt idx="72">
                  <c:v>45863</c:v>
                </c:pt>
                <c:pt idx="73">
                  <c:v>45862</c:v>
                </c:pt>
                <c:pt idx="74">
                  <c:v>45861</c:v>
                </c:pt>
                <c:pt idx="75">
                  <c:v>45860</c:v>
                </c:pt>
                <c:pt idx="76">
                  <c:v>45859</c:v>
                </c:pt>
                <c:pt idx="77">
                  <c:v>45856</c:v>
                </c:pt>
                <c:pt idx="78">
                  <c:v>45855</c:v>
                </c:pt>
                <c:pt idx="79">
                  <c:v>45854</c:v>
                </c:pt>
                <c:pt idx="80">
                  <c:v>45853</c:v>
                </c:pt>
                <c:pt idx="81">
                  <c:v>45852</c:v>
                </c:pt>
                <c:pt idx="82">
                  <c:v>45849</c:v>
                </c:pt>
                <c:pt idx="83">
                  <c:v>45848</c:v>
                </c:pt>
                <c:pt idx="84">
                  <c:v>45847</c:v>
                </c:pt>
                <c:pt idx="85">
                  <c:v>45846</c:v>
                </c:pt>
                <c:pt idx="86">
                  <c:v>45845</c:v>
                </c:pt>
                <c:pt idx="87">
                  <c:v>45841</c:v>
                </c:pt>
                <c:pt idx="88">
                  <c:v>45840</c:v>
                </c:pt>
                <c:pt idx="89">
                  <c:v>45839</c:v>
                </c:pt>
                <c:pt idx="90">
                  <c:v>45838</c:v>
                </c:pt>
                <c:pt idx="91">
                  <c:v>45835</c:v>
                </c:pt>
                <c:pt idx="92">
                  <c:v>45834</c:v>
                </c:pt>
                <c:pt idx="93">
                  <c:v>45833</c:v>
                </c:pt>
                <c:pt idx="94">
                  <c:v>45832</c:v>
                </c:pt>
                <c:pt idx="95">
                  <c:v>45831</c:v>
                </c:pt>
                <c:pt idx="96">
                  <c:v>45828</c:v>
                </c:pt>
                <c:pt idx="97">
                  <c:v>45826</c:v>
                </c:pt>
                <c:pt idx="98">
                  <c:v>45825</c:v>
                </c:pt>
                <c:pt idx="99">
                  <c:v>45824</c:v>
                </c:pt>
                <c:pt idx="100">
                  <c:v>45821</c:v>
                </c:pt>
                <c:pt idx="101">
                  <c:v>45820</c:v>
                </c:pt>
                <c:pt idx="102">
                  <c:v>45819</c:v>
                </c:pt>
                <c:pt idx="103">
                  <c:v>45818</c:v>
                </c:pt>
                <c:pt idx="104">
                  <c:v>45817</c:v>
                </c:pt>
                <c:pt idx="105">
                  <c:v>45814</c:v>
                </c:pt>
                <c:pt idx="106">
                  <c:v>45813</c:v>
                </c:pt>
                <c:pt idx="107">
                  <c:v>45812</c:v>
                </c:pt>
                <c:pt idx="108">
                  <c:v>45811</c:v>
                </c:pt>
                <c:pt idx="109">
                  <c:v>45810</c:v>
                </c:pt>
              </c:numCache>
            </c:numRef>
          </c:cat>
          <c:val>
            <c:numRef>
              <c:f>'Stock Price'!$G$7:$G$116</c:f>
              <c:numCache>
                <c:formatCode>General</c:formatCode>
                <c:ptCount val="110"/>
                <c:pt idx="0">
                  <c:v>14.86</c:v>
                </c:pt>
                <c:pt idx="1">
                  <c:v>14.1</c:v>
                </c:pt>
                <c:pt idx="2">
                  <c:v>15.62</c:v>
                </c:pt>
                <c:pt idx="3">
                  <c:v>16.03</c:v>
                </c:pt>
                <c:pt idx="4">
                  <c:v>14.32</c:v>
                </c:pt>
                <c:pt idx="5">
                  <c:v>14.37</c:v>
                </c:pt>
                <c:pt idx="6">
                  <c:v>15.01</c:v>
                </c:pt>
                <c:pt idx="7">
                  <c:v>15.38</c:v>
                </c:pt>
                <c:pt idx="8">
                  <c:v>16.059999999999999</c:v>
                </c:pt>
                <c:pt idx="9">
                  <c:v>14.36</c:v>
                </c:pt>
                <c:pt idx="10">
                  <c:v>15.06</c:v>
                </c:pt>
                <c:pt idx="11">
                  <c:v>16.3</c:v>
                </c:pt>
                <c:pt idx="12">
                  <c:v>15.01</c:v>
                </c:pt>
                <c:pt idx="13">
                  <c:v>15.04</c:v>
                </c:pt>
                <c:pt idx="14">
                  <c:v>15.45</c:v>
                </c:pt>
                <c:pt idx="15">
                  <c:v>18.28</c:v>
                </c:pt>
                <c:pt idx="16">
                  <c:v>16.98</c:v>
                </c:pt>
                <c:pt idx="17">
                  <c:v>17.05</c:v>
                </c:pt>
                <c:pt idx="18">
                  <c:v>13.82</c:v>
                </c:pt>
                <c:pt idx="19">
                  <c:v>14.64</c:v>
                </c:pt>
                <c:pt idx="20">
                  <c:v>14.82</c:v>
                </c:pt>
                <c:pt idx="21">
                  <c:v>13.66</c:v>
                </c:pt>
                <c:pt idx="22">
                  <c:v>13.86</c:v>
                </c:pt>
                <c:pt idx="23">
                  <c:v>12.6</c:v>
                </c:pt>
                <c:pt idx="24">
                  <c:v>12.36</c:v>
                </c:pt>
                <c:pt idx="25">
                  <c:v>12.37</c:v>
                </c:pt>
                <c:pt idx="26">
                  <c:v>11.39</c:v>
                </c:pt>
                <c:pt idx="27">
                  <c:v>11.17</c:v>
                </c:pt>
                <c:pt idx="28">
                  <c:v>10.119999999999999</c:v>
                </c:pt>
                <c:pt idx="29">
                  <c:v>10.49</c:v>
                </c:pt>
                <c:pt idx="30">
                  <c:v>10.65</c:v>
                </c:pt>
                <c:pt idx="31">
                  <c:v>10.16</c:v>
                </c:pt>
                <c:pt idx="32">
                  <c:v>10.24</c:v>
                </c:pt>
                <c:pt idx="33">
                  <c:v>9.76</c:v>
                </c:pt>
                <c:pt idx="34">
                  <c:v>9</c:v>
                </c:pt>
                <c:pt idx="35">
                  <c:v>8.5</c:v>
                </c:pt>
                <c:pt idx="36">
                  <c:v>8.2899999999999991</c:v>
                </c:pt>
                <c:pt idx="37">
                  <c:v>8.2799999999999994</c:v>
                </c:pt>
                <c:pt idx="38">
                  <c:v>8.1999999999999993</c:v>
                </c:pt>
                <c:pt idx="39">
                  <c:v>7.22</c:v>
                </c:pt>
                <c:pt idx="40">
                  <c:v>6.87</c:v>
                </c:pt>
                <c:pt idx="41">
                  <c:v>6.98</c:v>
                </c:pt>
                <c:pt idx="42">
                  <c:v>6.87</c:v>
                </c:pt>
                <c:pt idx="43">
                  <c:v>7.21</c:v>
                </c:pt>
                <c:pt idx="44">
                  <c:v>7.34</c:v>
                </c:pt>
                <c:pt idx="45">
                  <c:v>7.62</c:v>
                </c:pt>
                <c:pt idx="46">
                  <c:v>7.51</c:v>
                </c:pt>
                <c:pt idx="47">
                  <c:v>6.9</c:v>
                </c:pt>
                <c:pt idx="48">
                  <c:v>7.13</c:v>
                </c:pt>
                <c:pt idx="49">
                  <c:v>7.12</c:v>
                </c:pt>
                <c:pt idx="50">
                  <c:v>6.92</c:v>
                </c:pt>
                <c:pt idx="51">
                  <c:v>6.27</c:v>
                </c:pt>
                <c:pt idx="52">
                  <c:v>6.32</c:v>
                </c:pt>
                <c:pt idx="53">
                  <c:v>6.02</c:v>
                </c:pt>
                <c:pt idx="54">
                  <c:v>5.99</c:v>
                </c:pt>
                <c:pt idx="55">
                  <c:v>6.05</c:v>
                </c:pt>
                <c:pt idx="56">
                  <c:v>6.33</c:v>
                </c:pt>
                <c:pt idx="57">
                  <c:v>5.86</c:v>
                </c:pt>
                <c:pt idx="58">
                  <c:v>6.33</c:v>
                </c:pt>
                <c:pt idx="59">
                  <c:v>6.34</c:v>
                </c:pt>
                <c:pt idx="60">
                  <c:v>6.11</c:v>
                </c:pt>
                <c:pt idx="61">
                  <c:v>6.35</c:v>
                </c:pt>
                <c:pt idx="62">
                  <c:v>6.37</c:v>
                </c:pt>
                <c:pt idx="63">
                  <c:v>6.56</c:v>
                </c:pt>
                <c:pt idx="64">
                  <c:v>6.46</c:v>
                </c:pt>
                <c:pt idx="65">
                  <c:v>6.51</c:v>
                </c:pt>
                <c:pt idx="66">
                  <c:v>6.21</c:v>
                </c:pt>
                <c:pt idx="67">
                  <c:v>5.51</c:v>
                </c:pt>
                <c:pt idx="68">
                  <c:v>5.7</c:v>
                </c:pt>
                <c:pt idx="69">
                  <c:v>5.92</c:v>
                </c:pt>
                <c:pt idx="70">
                  <c:v>5.96</c:v>
                </c:pt>
                <c:pt idx="71">
                  <c:v>6.18</c:v>
                </c:pt>
                <c:pt idx="72">
                  <c:v>6.37</c:v>
                </c:pt>
                <c:pt idx="73">
                  <c:v>6.36</c:v>
                </c:pt>
                <c:pt idx="74">
                  <c:v>6.24</c:v>
                </c:pt>
                <c:pt idx="75">
                  <c:v>6.03</c:v>
                </c:pt>
                <c:pt idx="76">
                  <c:v>6</c:v>
                </c:pt>
                <c:pt idx="77">
                  <c:v>5.87</c:v>
                </c:pt>
                <c:pt idx="78">
                  <c:v>5.3</c:v>
                </c:pt>
                <c:pt idx="79">
                  <c:v>5.07</c:v>
                </c:pt>
                <c:pt idx="80">
                  <c:v>5.17</c:v>
                </c:pt>
                <c:pt idx="81">
                  <c:v>5.37</c:v>
                </c:pt>
                <c:pt idx="82">
                  <c:v>4.63</c:v>
                </c:pt>
                <c:pt idx="83">
                  <c:v>4.6500000000000004</c:v>
                </c:pt>
                <c:pt idx="84">
                  <c:v>4.66</c:v>
                </c:pt>
                <c:pt idx="85">
                  <c:v>4.79</c:v>
                </c:pt>
                <c:pt idx="86">
                  <c:v>5.15</c:v>
                </c:pt>
                <c:pt idx="87">
                  <c:v>5.08</c:v>
                </c:pt>
                <c:pt idx="88">
                  <c:v>4.9000000000000004</c:v>
                </c:pt>
                <c:pt idx="89">
                  <c:v>4.87</c:v>
                </c:pt>
                <c:pt idx="90">
                  <c:v>5.12</c:v>
                </c:pt>
                <c:pt idx="91">
                  <c:v>4.41</c:v>
                </c:pt>
                <c:pt idx="92">
                  <c:v>4.54</c:v>
                </c:pt>
                <c:pt idx="93">
                  <c:v>4.21</c:v>
                </c:pt>
                <c:pt idx="94">
                  <c:v>4.37</c:v>
                </c:pt>
                <c:pt idx="95">
                  <c:v>4.1900000000000004</c:v>
                </c:pt>
                <c:pt idx="96">
                  <c:v>4.49</c:v>
                </c:pt>
                <c:pt idx="97">
                  <c:v>4.58</c:v>
                </c:pt>
                <c:pt idx="98">
                  <c:v>4.43</c:v>
                </c:pt>
                <c:pt idx="99">
                  <c:v>4.63</c:v>
                </c:pt>
                <c:pt idx="100">
                  <c:v>4.03</c:v>
                </c:pt>
                <c:pt idx="101">
                  <c:v>4.16</c:v>
                </c:pt>
                <c:pt idx="102">
                  <c:v>4.01</c:v>
                </c:pt>
                <c:pt idx="103">
                  <c:v>4.07</c:v>
                </c:pt>
                <c:pt idx="104">
                  <c:v>4.18</c:v>
                </c:pt>
                <c:pt idx="105">
                  <c:v>3.84</c:v>
                </c:pt>
                <c:pt idx="106">
                  <c:v>3.92</c:v>
                </c:pt>
                <c:pt idx="107">
                  <c:v>3.8</c:v>
                </c:pt>
                <c:pt idx="108">
                  <c:v>3.86</c:v>
                </c:pt>
                <c:pt idx="109">
                  <c:v>4.1500000000000004</c:v>
                </c:pt>
              </c:numCache>
            </c:numRef>
          </c:val>
          <c:smooth val="0"/>
          <c:extLst>
            <c:ext xmlns:c16="http://schemas.microsoft.com/office/drawing/2014/chart" uri="{C3380CC4-5D6E-409C-BE32-E72D297353CC}">
              <c16:uniqueId val="{00000003-7732-D548-BC9D-F1613E78EECE}"/>
            </c:ext>
          </c:extLst>
        </c:ser>
        <c:dLbls>
          <c:showLegendKey val="0"/>
          <c:showVal val="0"/>
          <c:showCatName val="0"/>
          <c:showSerName val="0"/>
          <c:showPercent val="0"/>
          <c:showBubbleSize val="0"/>
        </c:dLbls>
        <c:smooth val="0"/>
        <c:axId val="1789904207"/>
        <c:axId val="1788932127"/>
      </c:lineChart>
      <c:dateAx>
        <c:axId val="1789904207"/>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1788932127"/>
        <c:crosses val="autoZero"/>
        <c:auto val="1"/>
        <c:lblOffset val="100"/>
        <c:baseTimeUnit val="days"/>
      </c:dateAx>
      <c:valAx>
        <c:axId val="1788932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1789904207"/>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R"/>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_xlchart.v1.3</cx:f>
      </cx:strDim>
      <cx:numDim type="val">
        <cx:f dir="row">_xlchart.v1.2</cx:f>
      </cx:numDim>
    </cx:data>
  </cx:chartData>
  <cx:chart>
    <cx:title pos="t" align="ctr" overlay="0">
      <cx:tx>
        <cx:txData>
          <cx:v>Operating Profit Margin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Operating Profit Margin</a:t>
          </a:r>
        </a:p>
      </cx:txPr>
    </cx:title>
    <cx:plotArea>
      <cx:plotAreaRegion>
        <cx:series layoutId="waterfall" uniqueId="{9EB140B0-590F-0849-89CB-870B6E306145}">
          <cx:dataLabels pos="outEnd">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layoutPr>
            <cx:subtotals/>
          </cx:layoutPr>
        </cx:series>
      </cx:plotAreaRegion>
      <cx:axis id="0">
        <cx:catScaling gapWidth="0.5"/>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legend pos="t"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_xlchart.v1.1</cx:f>
      </cx:strDim>
      <cx:numDim type="val">
        <cx:f dir="row">_xlchart.v1.0</cx:f>
      </cx:numDim>
    </cx:data>
  </cx:chartData>
  <cx:chart>
    <cx:title pos="t" align="ctr" overlay="0">
      <cx:tx>
        <cx:txData>
          <cx:v>Financial Leverage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Financial Leverage</a:t>
          </a:r>
        </a:p>
      </cx:txPr>
    </cx:title>
    <cx:plotArea>
      <cx:plotAreaRegion>
        <cx:series layoutId="waterfall" uniqueId="{538ADEF3-64C6-074A-B268-DDDB1963E9D6}">
          <cx:dataLabels pos="outEnd">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layoutPr>
            <cx:subtotals/>
          </cx:layoutPr>
        </cx:series>
      </cx:plotAreaRegion>
      <cx:axis id="0">
        <cx:catScaling gapWidth="0.5"/>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legend pos="t"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15</xdr:col>
      <xdr:colOff>420169</xdr:colOff>
      <xdr:row>18</xdr:row>
      <xdr:rowOff>59351</xdr:rowOff>
    </xdr:from>
    <xdr:to>
      <xdr:col>22</xdr:col>
      <xdr:colOff>422543</xdr:colOff>
      <xdr:row>31</xdr:row>
      <xdr:rowOff>179467</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9679E40-1B14-BED0-4E41-9B2746CA7E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5672869" y="3818551"/>
              <a:ext cx="4536274" cy="276171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479513</xdr:colOff>
      <xdr:row>32</xdr:row>
      <xdr:rowOff>142435</xdr:rowOff>
    </xdr:from>
    <xdr:to>
      <xdr:col>22</xdr:col>
      <xdr:colOff>481887</xdr:colOff>
      <xdr:row>46</xdr:row>
      <xdr:rowOff>60775</xdr:rowOff>
    </xdr:to>
    <xdr:graphicFrame macro="">
      <xdr:nvGraphicFramePr>
        <xdr:cNvPr id="4" name="Chart 3">
          <a:extLst>
            <a:ext uri="{FF2B5EF4-FFF2-40B4-BE49-F238E27FC236}">
              <a16:creationId xmlns:a16="http://schemas.microsoft.com/office/drawing/2014/main" id="{4817486D-481F-F3D8-EC0B-DF5670688B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443906</xdr:colOff>
      <xdr:row>47</xdr:row>
      <xdr:rowOff>71220</xdr:rowOff>
    </xdr:from>
    <xdr:to>
      <xdr:col>22</xdr:col>
      <xdr:colOff>446280</xdr:colOff>
      <xdr:row>60</xdr:row>
      <xdr:rowOff>191336</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A82436CF-B92C-6EFC-5114-1F02FFB2C1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5696606" y="9723220"/>
              <a:ext cx="4536274" cy="276171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400679</xdr:colOff>
      <xdr:row>61</xdr:row>
      <xdr:rowOff>193283</xdr:rowOff>
    </xdr:from>
    <xdr:to>
      <xdr:col>22</xdr:col>
      <xdr:colOff>469138</xdr:colOff>
      <xdr:row>75</xdr:row>
      <xdr:rowOff>111623</xdr:rowOff>
    </xdr:to>
    <xdr:graphicFrame macro="">
      <xdr:nvGraphicFramePr>
        <xdr:cNvPr id="6" name="Chart 5">
          <a:extLst>
            <a:ext uri="{FF2B5EF4-FFF2-40B4-BE49-F238E27FC236}">
              <a16:creationId xmlns:a16="http://schemas.microsoft.com/office/drawing/2014/main" id="{BFFD3C77-EFC5-48D3-5775-9306A084E3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412750</xdr:colOff>
      <xdr:row>20</xdr:row>
      <xdr:rowOff>101606</xdr:rowOff>
    </xdr:from>
    <xdr:to>
      <xdr:col>30</xdr:col>
      <xdr:colOff>450850</xdr:colOff>
      <xdr:row>34</xdr:row>
      <xdr:rowOff>6</xdr:rowOff>
    </xdr:to>
    <xdr:graphicFrame macro="">
      <xdr:nvGraphicFramePr>
        <xdr:cNvPr id="2" name="Chart 1">
          <a:extLst>
            <a:ext uri="{FF2B5EF4-FFF2-40B4-BE49-F238E27FC236}">
              <a16:creationId xmlns:a16="http://schemas.microsoft.com/office/drawing/2014/main" id="{2EDCDDC6-0AE4-5C1C-96CA-69C4A6F099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95250</xdr:colOff>
      <xdr:row>38</xdr:row>
      <xdr:rowOff>120650</xdr:rowOff>
    </xdr:from>
    <xdr:to>
      <xdr:col>15</xdr:col>
      <xdr:colOff>19050</xdr:colOff>
      <xdr:row>52</xdr:row>
      <xdr:rowOff>19050</xdr:rowOff>
    </xdr:to>
    <xdr:graphicFrame macro="">
      <xdr:nvGraphicFramePr>
        <xdr:cNvPr id="7" name="Chart 6">
          <a:extLst>
            <a:ext uri="{FF2B5EF4-FFF2-40B4-BE49-F238E27FC236}">
              <a16:creationId xmlns:a16="http://schemas.microsoft.com/office/drawing/2014/main" id="{C80C7BC6-3341-5A4A-4FF1-E6F1C47382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722586</xdr:colOff>
      <xdr:row>11</xdr:row>
      <xdr:rowOff>0</xdr:rowOff>
    </xdr:from>
    <xdr:to>
      <xdr:col>21</xdr:col>
      <xdr:colOff>394138</xdr:colOff>
      <xdr:row>15</xdr:row>
      <xdr:rowOff>175770</xdr:rowOff>
    </xdr:to>
    <xdr:pic>
      <xdr:nvPicPr>
        <xdr:cNvPr id="2" name="Picture 1">
          <a:extLst>
            <a:ext uri="{FF2B5EF4-FFF2-40B4-BE49-F238E27FC236}">
              <a16:creationId xmlns:a16="http://schemas.microsoft.com/office/drawing/2014/main" id="{B5F836FE-F4A3-C744-BE8E-D6CC6A721B4C}"/>
            </a:ext>
          </a:extLst>
        </xdr:cNvPr>
        <xdr:cNvPicPr>
          <a:picLocks noChangeAspect="1"/>
        </xdr:cNvPicPr>
      </xdr:nvPicPr>
      <xdr:blipFill>
        <a:blip xmlns:r="http://schemas.openxmlformats.org/officeDocument/2006/relationships" r:embed="rId1"/>
        <a:stretch>
          <a:fillRect/>
        </a:stretch>
      </xdr:blipFill>
      <xdr:spPr>
        <a:xfrm>
          <a:off x="18845486" y="2649483"/>
          <a:ext cx="2973552" cy="7992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14</xdr:col>
      <xdr:colOff>338441</xdr:colOff>
      <xdr:row>38</xdr:row>
      <xdr:rowOff>64340</xdr:rowOff>
    </xdr:from>
    <xdr:to>
      <xdr:col>21</xdr:col>
      <xdr:colOff>87104</xdr:colOff>
      <xdr:row>51</xdr:row>
      <xdr:rowOff>189424</xdr:rowOff>
    </xdr:to>
    <xdr:graphicFrame macro="">
      <xdr:nvGraphicFramePr>
        <xdr:cNvPr id="2" name="Chart 1">
          <a:extLst>
            <a:ext uri="{FF2B5EF4-FFF2-40B4-BE49-F238E27FC236}">
              <a16:creationId xmlns:a16="http://schemas.microsoft.com/office/drawing/2014/main" id="{1A969B39-CA68-6E6C-AB1B-B675B7CF41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768143</xdr:colOff>
      <xdr:row>38</xdr:row>
      <xdr:rowOff>50800</xdr:rowOff>
    </xdr:from>
    <xdr:to>
      <xdr:col>12</xdr:col>
      <xdr:colOff>167521</xdr:colOff>
      <xdr:row>51</xdr:row>
      <xdr:rowOff>152400</xdr:rowOff>
    </xdr:to>
    <xdr:graphicFrame macro="">
      <xdr:nvGraphicFramePr>
        <xdr:cNvPr id="3" name="Chart 2">
          <a:extLst>
            <a:ext uri="{FF2B5EF4-FFF2-40B4-BE49-F238E27FC236}">
              <a16:creationId xmlns:a16="http://schemas.microsoft.com/office/drawing/2014/main" id="{0891988E-D8B9-A20A-2B78-FDE6077112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160198</xdr:rowOff>
    </xdr:from>
    <xdr:to>
      <xdr:col>6</xdr:col>
      <xdr:colOff>884544</xdr:colOff>
      <xdr:row>38</xdr:row>
      <xdr:rowOff>96029</xdr:rowOff>
    </xdr:to>
    <xdr:graphicFrame macro="">
      <xdr:nvGraphicFramePr>
        <xdr:cNvPr id="5" name="Chart 4">
          <a:extLst>
            <a:ext uri="{FF2B5EF4-FFF2-40B4-BE49-F238E27FC236}">
              <a16:creationId xmlns:a16="http://schemas.microsoft.com/office/drawing/2014/main" id="{98A76319-3222-FAEE-5C15-C0A48EEB4D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45803</xdr:colOff>
      <xdr:row>7</xdr:row>
      <xdr:rowOff>106597</xdr:rowOff>
    </xdr:from>
    <xdr:to>
      <xdr:col>14</xdr:col>
      <xdr:colOff>488568</xdr:colOff>
      <xdr:row>24</xdr:row>
      <xdr:rowOff>18322</xdr:rowOff>
    </xdr:to>
    <xdr:graphicFrame macro="">
      <xdr:nvGraphicFramePr>
        <xdr:cNvPr id="2" name="Chart 1">
          <a:extLst>
            <a:ext uri="{FF2B5EF4-FFF2-40B4-BE49-F238E27FC236}">
              <a16:creationId xmlns:a16="http://schemas.microsoft.com/office/drawing/2014/main" id="{A327901D-E445-6242-343F-0C54BE8B01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nusu-my.sharepoint.com/personal/e1354453_u_nus_edu/Documents/copy%20of%20Balanced_EOSE.xlsx" TargetMode="External"/><Relationship Id="rId1" Type="http://schemas.openxmlformats.org/officeDocument/2006/relationships/externalLinkPath" Target="https://nusu-my.sharepoint.com/personal/e1354453_u_nus_edu/Documents/copy%20of%20Balanced_EOS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nusu.sharepoint.com/Users/andysong1616/Desktop/Year%202%20Sem%202/6.%20PEC/Model/In%20Gyu%20-%20EOSE%20New.xlsx" TargetMode="External"/><Relationship Id="rId1" Type="http://schemas.openxmlformats.org/officeDocument/2006/relationships/externalLinkPath" Target="https://nusu.sharepoint.com/sites/pec_83m9rr/Shared%20Documents/General/In%20Gyu%20-%20EOSE%20New.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User/Downloads/ratings.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User/Desktop/Career/Finance/ON/ON%20Model%20Repaired.xlsx" TargetMode="External"/><Relationship Id="rId1" Type="http://schemas.openxmlformats.org/officeDocument/2006/relationships/externalLinkPath" Target="file:///C:/Users/User/Desktop/Career/Finance/ON/ON%20Model%20Repair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Valuation"/>
      <sheetName val="Balance&gt;"/>
      <sheetName val="3FS"/>
      <sheetName val="Projections"/>
      <sheetName val="Drivers&gt;"/>
      <sheetName val="Debt &amp; Equity"/>
      <sheetName val="PPE"/>
      <sheetName val="Revenue Build"/>
      <sheetName val="Intangibles"/>
      <sheetName val="DCF"/>
      <sheetName val="comps"/>
      <sheetName val="Synthetic Comps"/>
      <sheetName val="ERPs by Country"/>
    </sheetNames>
    <sheetDataSet>
      <sheetData sheetId="0" refreshError="1">
        <row r="11">
          <cell r="C11" t="str">
            <v>Base Case</v>
          </cell>
        </row>
      </sheetData>
      <sheetData sheetId="1" refreshError="1"/>
      <sheetData sheetId="2" refreshError="1"/>
      <sheetData sheetId="3" refreshError="1">
        <row r="95">
          <cell r="J95">
            <v>-464.04590497940148</v>
          </cell>
          <cell r="K95">
            <v>1175.8388843912539</v>
          </cell>
          <cell r="L95">
            <v>18857.16364509804</v>
          </cell>
          <cell r="M95">
            <v>183036.76159150703</v>
          </cell>
          <cell r="N95">
            <v>1502869.5700153892</v>
          </cell>
        </row>
      </sheetData>
      <sheetData sheetId="4" refreshError="1"/>
      <sheetData sheetId="5" refreshError="1"/>
      <sheetData sheetId="6" refreshError="1">
        <row r="13">
          <cell r="M13">
            <v>653.67767380889086</v>
          </cell>
          <cell r="N13">
            <v>500.11879153513331</v>
          </cell>
          <cell r="O13">
            <v>1645.0632005166005</v>
          </cell>
          <cell r="P13">
            <v>13505.968876241292</v>
          </cell>
          <cell r="Q13">
            <v>97378.035597699723</v>
          </cell>
        </row>
      </sheetData>
      <sheetData sheetId="7" refreshError="1"/>
      <sheetData sheetId="8" refreshError="1"/>
      <sheetData sheetId="9" refreshError="1"/>
      <sheetData sheetId="10" refreshError="1">
        <row r="24">
          <cell r="G24">
            <v>316.89600000000002</v>
          </cell>
        </row>
        <row r="27">
          <cell r="G27">
            <v>4361.4164000000001</v>
          </cell>
        </row>
      </sheetData>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shd delete later"/>
      <sheetName val="Valuation &gt;&gt;"/>
      <sheetName val="3FS"/>
      <sheetName val="Projection"/>
      <sheetName val="Drivers &gt;"/>
      <sheetName val="PP&amp;E"/>
      <sheetName val="Debt &amp; Equity"/>
      <sheetName val="Revenue Build "/>
      <sheetName val="Intangibles"/>
      <sheetName val="Bottom Up Data &gt;&gt;"/>
      <sheetName val="Segments"/>
      <sheetName val="Drivers&gt;&gt;"/>
      <sheetName val="Revenue Build (Segmented)"/>
      <sheetName val="Revenue Build"/>
      <sheetName val="Product Breakdown"/>
    </sheetNames>
    <sheetDataSet>
      <sheetData sheetId="0">
        <row r="11">
          <cell r="C11" t="str">
            <v>Base Case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Ratings sheet"/>
      <sheetName val="Operating Leases"/>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Guidance"/>
      <sheetName val="Raw"/>
      <sheetName val="Industry Betas"/>
      <sheetName val="ERPs by country"/>
      <sheetName val="Synthetic Rating "/>
      <sheetName val="Com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ow r="29">
          <cell r="C29" t="str">
            <v>A3/A-</v>
          </cell>
        </row>
        <row r="32">
          <cell r="F32">
            <v>2.5</v>
          </cell>
        </row>
      </sheetData>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3FS"/>
      <sheetName val="Rev Build"/>
      <sheetName val="Operating"/>
      <sheetName val="NC Assets"/>
      <sheetName val="Debt and Equity"/>
      <sheetName val="Valuation"/>
      <sheetName val="Comps"/>
      <sheetName val="Raw Data&gt;&gt;&gt;"/>
      <sheetName val="Income FY23"/>
      <sheetName val="Balance FY23"/>
      <sheetName val="CashFlow FY23"/>
      <sheetName val="Capital Structure Details"/>
      <sheetName val="Performance Analysis"/>
      <sheetName val="Ownership Details"/>
      <sheetName val="Screening Criteria"/>
      <sheetName val="Sheet1"/>
      <sheetName val="Sheet2"/>
      <sheetName val="Sheet3"/>
      <sheetName val="Industry Averages"/>
      <sheetName val="ERPs by country"/>
      <sheetName val="Start here Ratings sheet"/>
      <sheetName val="Guidance"/>
      <sheetName val="Raw"/>
      <sheetName val="Industry Betas"/>
      <sheetName val="Synthetic Rating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1">
          <cell r="H11">
            <v>1.2</v>
          </cell>
        </row>
      </sheetData>
      <sheetData sheetId="20" refreshError="1"/>
      <sheetData sheetId="21">
        <row r="6">
          <cell r="F6">
            <v>50</v>
          </cell>
        </row>
      </sheetData>
      <sheetData sheetId="22"/>
      <sheetData sheetId="23"/>
      <sheetData sheetId="24"/>
      <sheetData sheetId="25">
        <row r="6">
          <cell r="F6">
            <v>50</v>
          </cell>
        </row>
        <row r="7">
          <cell r="F7">
            <v>8</v>
          </cell>
        </row>
        <row r="13">
          <cell r="D13">
            <v>3.85E-2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8AD9-E07E-D148-930D-5F827ADD11AC}">
  <dimension ref="B2:H148"/>
  <sheetViews>
    <sheetView showGridLines="0" zoomScale="89" zoomScaleNormal="125" workbookViewId="0">
      <selection activeCell="B23" sqref="B23"/>
    </sheetView>
  </sheetViews>
  <sheetFormatPr baseColWidth="10" defaultColWidth="11.5" defaultRowHeight="19"/>
  <cols>
    <col min="1" max="1" width="3.5" style="145" customWidth="1"/>
    <col min="2" max="2" width="70.5" style="145" customWidth="1"/>
    <col min="3" max="3" width="20.6640625" style="145" bestFit="1" customWidth="1"/>
    <col min="4" max="5" width="11.5" style="145"/>
    <col min="6" max="6" width="20.1640625" style="145" bestFit="1" customWidth="1"/>
    <col min="7" max="16384" width="11.5" style="145"/>
  </cols>
  <sheetData>
    <row r="2" spans="2:8" ht="33">
      <c r="B2" s="426" t="s">
        <v>0</v>
      </c>
      <c r="C2" s="427"/>
      <c r="D2" s="427"/>
      <c r="E2" s="428" t="s">
        <v>1</v>
      </c>
      <c r="F2" s="428" t="s">
        <v>1</v>
      </c>
      <c r="G2" s="428" t="s">
        <v>1</v>
      </c>
      <c r="H2" s="429" t="s">
        <v>1</v>
      </c>
    </row>
    <row r="3" spans="2:8">
      <c r="B3" s="430" t="s">
        <v>1</v>
      </c>
      <c r="C3" s="431" t="s">
        <v>1</v>
      </c>
      <c r="D3" s="431" t="s">
        <v>1</v>
      </c>
      <c r="E3" s="431" t="s">
        <v>1</v>
      </c>
      <c r="F3" s="431" t="s">
        <v>1</v>
      </c>
      <c r="G3" s="431" t="s">
        <v>1</v>
      </c>
      <c r="H3" s="432" t="s">
        <v>1</v>
      </c>
    </row>
    <row r="4" spans="2:8">
      <c r="B4" s="433" t="s">
        <v>2</v>
      </c>
      <c r="C4" s="434">
        <f ca="1">TODAY()</f>
        <v>45990</v>
      </c>
      <c r="D4" s="431" t="s">
        <v>1</v>
      </c>
      <c r="E4" s="431" t="s">
        <v>1</v>
      </c>
      <c r="F4" s="431" t="s">
        <v>1</v>
      </c>
      <c r="G4" s="431" t="s">
        <v>1</v>
      </c>
      <c r="H4" s="432" t="s">
        <v>1</v>
      </c>
    </row>
    <row r="5" spans="2:8">
      <c r="B5" s="435" t="s">
        <v>3</v>
      </c>
      <c r="C5" s="436" t="s">
        <v>1</v>
      </c>
      <c r="D5" s="436" t="s">
        <v>1</v>
      </c>
      <c r="E5" s="436" t="s">
        <v>1</v>
      </c>
      <c r="F5" s="436" t="s">
        <v>1</v>
      </c>
      <c r="G5" s="436" t="s">
        <v>1</v>
      </c>
      <c r="H5" s="437" t="s">
        <v>1</v>
      </c>
    </row>
    <row r="6" spans="2:8">
      <c r="B6" s="438" t="s">
        <v>1</v>
      </c>
      <c r="C6" s="439"/>
      <c r="D6" s="439"/>
      <c r="E6" s="439"/>
      <c r="F6" s="439"/>
      <c r="G6" s="439"/>
      <c r="H6" s="440" t="s">
        <v>1</v>
      </c>
    </row>
    <row r="7" spans="2:8">
      <c r="B7" s="438" t="s">
        <v>4</v>
      </c>
      <c r="C7" s="441" t="s">
        <v>0</v>
      </c>
      <c r="D7" s="439"/>
      <c r="E7" s="439"/>
      <c r="F7" s="439"/>
      <c r="G7" s="439"/>
      <c r="H7" s="440" t="s">
        <v>1</v>
      </c>
    </row>
    <row r="8" spans="2:8">
      <c r="B8" s="438" t="s">
        <v>5</v>
      </c>
      <c r="C8" s="442" t="s">
        <v>6</v>
      </c>
      <c r="D8" s="439"/>
      <c r="E8" s="439"/>
      <c r="F8" s="439"/>
      <c r="G8" s="439"/>
      <c r="H8" s="440" t="s">
        <v>1</v>
      </c>
    </row>
    <row r="9" spans="2:8">
      <c r="B9" s="438" t="s">
        <v>7</v>
      </c>
      <c r="C9" s="442" t="s">
        <v>8</v>
      </c>
      <c r="D9" s="439"/>
      <c r="E9" s="439"/>
      <c r="F9" s="439"/>
      <c r="G9" s="439"/>
      <c r="H9" s="440" t="s">
        <v>1</v>
      </c>
    </row>
    <row r="10" spans="2:8">
      <c r="B10" s="438" t="s">
        <v>9</v>
      </c>
      <c r="C10" s="442" t="s">
        <v>10</v>
      </c>
      <c r="D10" s="439"/>
      <c r="E10" s="439"/>
      <c r="F10" s="439"/>
      <c r="G10" s="439"/>
      <c r="H10" s="440" t="s">
        <v>1</v>
      </c>
    </row>
    <row r="11" spans="2:8">
      <c r="B11" s="438" t="s">
        <v>11</v>
      </c>
      <c r="C11" s="442" t="s">
        <v>12</v>
      </c>
      <c r="D11" s="439"/>
      <c r="E11" s="439"/>
      <c r="F11" s="439"/>
      <c r="G11" s="439"/>
      <c r="H11" s="440" t="s">
        <v>1</v>
      </c>
    </row>
    <row r="12" spans="2:8">
      <c r="B12" s="443" t="s">
        <v>1</v>
      </c>
      <c r="C12" s="444"/>
      <c r="D12" s="439"/>
      <c r="E12" s="439"/>
      <c r="F12" s="439"/>
      <c r="G12" s="439"/>
      <c r="H12" s="440" t="s">
        <v>1</v>
      </c>
    </row>
    <row r="13" spans="2:8">
      <c r="B13" s="435" t="s">
        <v>13</v>
      </c>
      <c r="C13" s="436" t="s">
        <v>1</v>
      </c>
      <c r="D13" s="445" t="s">
        <v>1</v>
      </c>
      <c r="E13" s="445" t="s">
        <v>1</v>
      </c>
      <c r="F13" s="436" t="s">
        <v>1</v>
      </c>
      <c r="G13" s="445" t="s">
        <v>1</v>
      </c>
      <c r="H13" s="446" t="s">
        <v>1</v>
      </c>
    </row>
    <row r="14" spans="2:8" ht="19" customHeight="1">
      <c r="B14" s="774" t="s">
        <v>14</v>
      </c>
      <c r="C14" s="775"/>
      <c r="D14" s="775"/>
      <c r="E14" s="775"/>
      <c r="F14" s="775"/>
      <c r="G14" s="775"/>
      <c r="H14" s="776"/>
    </row>
    <row r="15" spans="2:8">
      <c r="B15" s="777"/>
      <c r="C15" s="778"/>
      <c r="D15" s="778"/>
      <c r="E15" s="778"/>
      <c r="F15" s="778"/>
      <c r="G15" s="778"/>
      <c r="H15" s="779"/>
    </row>
    <row r="16" spans="2:8">
      <c r="B16" s="777"/>
      <c r="C16" s="778"/>
      <c r="D16" s="778"/>
      <c r="E16" s="778"/>
      <c r="F16" s="778"/>
      <c r="G16" s="778"/>
      <c r="H16" s="779"/>
    </row>
    <row r="17" spans="2:8">
      <c r="B17" s="777"/>
      <c r="C17" s="778"/>
      <c r="D17" s="778"/>
      <c r="E17" s="778"/>
      <c r="F17" s="778"/>
      <c r="G17" s="778"/>
      <c r="H17" s="779"/>
    </row>
    <row r="18" spans="2:8">
      <c r="B18" s="777"/>
      <c r="C18" s="778"/>
      <c r="D18" s="778"/>
      <c r="E18" s="778"/>
      <c r="F18" s="778"/>
      <c r="G18" s="778"/>
      <c r="H18" s="779"/>
    </row>
    <row r="19" spans="2:8">
      <c r="B19" s="777"/>
      <c r="C19" s="778"/>
      <c r="D19" s="778"/>
      <c r="E19" s="778"/>
      <c r="F19" s="778"/>
      <c r="G19" s="778"/>
      <c r="H19" s="779"/>
    </row>
    <row r="20" spans="2:8">
      <c r="B20" s="435" t="s">
        <v>15</v>
      </c>
      <c r="C20" s="436" t="s">
        <v>1</v>
      </c>
      <c r="D20" s="445" t="s">
        <v>1</v>
      </c>
      <c r="E20" s="445" t="s">
        <v>1</v>
      </c>
      <c r="F20" s="436" t="s">
        <v>1</v>
      </c>
      <c r="G20" s="445" t="s">
        <v>1</v>
      </c>
      <c r="H20" s="446" t="s">
        <v>1</v>
      </c>
    </row>
    <row r="21" spans="2:8">
      <c r="B21" s="443" t="s">
        <v>1</v>
      </c>
      <c r="C21" s="447"/>
      <c r="D21" s="439"/>
      <c r="E21" s="439"/>
      <c r="F21" s="439"/>
      <c r="G21" s="439"/>
      <c r="H21" s="440" t="s">
        <v>1</v>
      </c>
    </row>
    <row r="22" spans="2:8">
      <c r="B22" s="448" t="s">
        <v>16</v>
      </c>
      <c r="C22" s="449"/>
      <c r="D22" s="447"/>
      <c r="E22" s="447"/>
      <c r="F22" s="449" t="s">
        <v>17</v>
      </c>
      <c r="G22" s="449" t="s">
        <v>18</v>
      </c>
      <c r="H22" s="450" t="s">
        <v>1</v>
      </c>
    </row>
    <row r="23" spans="2:8">
      <c r="B23" s="613" t="s">
        <v>19</v>
      </c>
      <c r="C23" s="451">
        <v>0.105</v>
      </c>
      <c r="D23" s="439"/>
      <c r="E23" s="439"/>
      <c r="F23" s="452" t="s">
        <v>20</v>
      </c>
      <c r="G23" s="453" t="s">
        <v>21</v>
      </c>
      <c r="H23" s="440" t="s">
        <v>1</v>
      </c>
    </row>
    <row r="24" spans="2:8">
      <c r="B24" s="344" t="s">
        <v>22</v>
      </c>
      <c r="C24" s="454">
        <v>-100000</v>
      </c>
      <c r="D24" s="439"/>
      <c r="E24" s="439"/>
      <c r="F24" s="455" t="s">
        <v>23</v>
      </c>
      <c r="G24" s="439" t="s">
        <v>24</v>
      </c>
      <c r="H24" s="440" t="s">
        <v>1</v>
      </c>
    </row>
    <row r="25" spans="2:8">
      <c r="B25" s="438" t="s">
        <v>25</v>
      </c>
      <c r="C25" s="456">
        <v>10</v>
      </c>
      <c r="D25" s="439"/>
      <c r="E25" s="439"/>
      <c r="F25" s="453" t="s">
        <v>26</v>
      </c>
      <c r="G25" s="439" t="s">
        <v>27</v>
      </c>
      <c r="H25" s="440" t="s">
        <v>1</v>
      </c>
    </row>
    <row r="26" spans="2:8" ht="19" customHeight="1">
      <c r="B26" s="457" t="s">
        <v>28</v>
      </c>
      <c r="C26" s="458">
        <v>-20334.099999999999</v>
      </c>
      <c r="D26" s="459" t="s">
        <v>1</v>
      </c>
      <c r="E26" s="459" t="s">
        <v>1</v>
      </c>
      <c r="F26" s="459" t="s">
        <v>29</v>
      </c>
      <c r="G26" s="459" t="s">
        <v>30</v>
      </c>
      <c r="H26" s="460" t="s">
        <v>1</v>
      </c>
    </row>
    <row r="116" spans="3:3">
      <c r="C116" s="148"/>
    </row>
    <row r="117" spans="3:3">
      <c r="C117" s="145" t="s">
        <v>31</v>
      </c>
    </row>
    <row r="118" spans="3:3">
      <c r="C118" s="148"/>
    </row>
    <row r="119" spans="3:3">
      <c r="C119" s="148"/>
    </row>
    <row r="120" spans="3:3">
      <c r="C120" s="148"/>
    </row>
    <row r="121" spans="3:3">
      <c r="C121" s="148"/>
    </row>
    <row r="122" spans="3:3">
      <c r="C122" s="148"/>
    </row>
    <row r="123" spans="3:3">
      <c r="C123" s="148"/>
    </row>
    <row r="124" spans="3:3">
      <c r="C124" s="148"/>
    </row>
    <row r="125" spans="3:3">
      <c r="C125" s="148"/>
    </row>
    <row r="126" spans="3:3">
      <c r="C126" s="148"/>
    </row>
    <row r="127" spans="3:3">
      <c r="C127" s="148"/>
    </row>
    <row r="128" spans="3:3">
      <c r="C128" s="148"/>
    </row>
    <row r="130" spans="3:3">
      <c r="C130" s="148"/>
    </row>
    <row r="131" spans="3:3">
      <c r="C131" s="148"/>
    </row>
    <row r="132" spans="3:3">
      <c r="C132" s="148"/>
    </row>
    <row r="133" spans="3:3">
      <c r="C133" s="148"/>
    </row>
    <row r="134" spans="3:3">
      <c r="C134" s="148"/>
    </row>
    <row r="135" spans="3:3">
      <c r="C135" s="148"/>
    </row>
    <row r="136" spans="3:3">
      <c r="C136" s="148"/>
    </row>
    <row r="137" spans="3:3">
      <c r="C137" s="148"/>
    </row>
    <row r="141" spans="3:3">
      <c r="C141" s="148"/>
    </row>
    <row r="142" spans="3:3">
      <c r="C142" s="148"/>
    </row>
    <row r="143" spans="3:3">
      <c r="C143" s="148"/>
    </row>
    <row r="144" spans="3:3">
      <c r="C144" s="148"/>
    </row>
    <row r="145" spans="3:3">
      <c r="C145" s="148"/>
    </row>
    <row r="146" spans="3:3">
      <c r="C146" s="148"/>
    </row>
    <row r="147" spans="3:3">
      <c r="C147" s="148"/>
    </row>
    <row r="148" spans="3:3">
      <c r="C148" s="148"/>
    </row>
  </sheetData>
  <mergeCells count="1">
    <mergeCell ref="B14:H19"/>
  </mergeCells>
  <dataValidations count="1">
    <dataValidation type="list" allowBlank="1" showInputMessage="1" showErrorMessage="1" sqref="C11" xr:uid="{EFC71090-3362-174D-9892-D3AAF85A35F3}">
      <formula1>"Bull Case, Base Case, Bear Case"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82C75-B585-684F-95F1-56601F8A6154}">
  <dimension ref="B1:P43"/>
  <sheetViews>
    <sheetView showGridLines="0" workbookViewId="0">
      <pane xSplit="4" ySplit="6" topLeftCell="H26" activePane="bottomRight" state="frozen"/>
      <selection pane="topRight" activeCell="E1" sqref="E1"/>
      <selection pane="bottomLeft" activeCell="A7" sqref="A7"/>
      <selection pane="bottomRight" activeCell="J34" activeCellId="2" sqref="J6:O6 J13:O13 J34:O34"/>
    </sheetView>
  </sheetViews>
  <sheetFormatPr baseColWidth="10" defaultColWidth="8.5" defaultRowHeight="16"/>
  <cols>
    <col min="1" max="1" width="2.5" style="57" customWidth="1"/>
    <col min="2" max="2" width="3.5" style="57" customWidth="1"/>
    <col min="3" max="3" width="55" style="57" customWidth="1"/>
    <col min="4" max="4" width="11.6640625" style="57" customWidth="1"/>
    <col min="5" max="5" width="10.6640625" style="57" bestFit="1" customWidth="1"/>
    <col min="6" max="10" width="11.1640625" style="57" bestFit="1" customWidth="1"/>
    <col min="11" max="11" width="12" style="57" customWidth="1"/>
    <col min="12" max="12" width="12.5" style="57" bestFit="1" customWidth="1"/>
    <col min="13" max="13" width="13.5" style="57" bestFit="1" customWidth="1"/>
    <col min="14" max="15" width="11.5" style="57" customWidth="1"/>
    <col min="16" max="16384" width="8.5" style="57"/>
  </cols>
  <sheetData>
    <row r="1" spans="2:16" ht="24">
      <c r="B1" s="369"/>
      <c r="C1" s="370" t="s">
        <v>32</v>
      </c>
      <c r="D1" s="373"/>
      <c r="E1" s="374"/>
      <c r="F1" s="374"/>
      <c r="G1" s="374"/>
      <c r="H1" s="374"/>
      <c r="I1" s="374"/>
      <c r="J1" s="374"/>
      <c r="K1" s="374"/>
      <c r="L1" s="374"/>
      <c r="M1" s="374"/>
      <c r="N1" s="374"/>
      <c r="O1" s="374"/>
    </row>
    <row r="2" spans="2:16">
      <c r="B2" s="369"/>
      <c r="C2" s="369"/>
      <c r="D2" s="374"/>
      <c r="E2" s="374"/>
      <c r="F2" s="374"/>
      <c r="G2" s="374"/>
      <c r="H2" s="374"/>
      <c r="I2" s="374"/>
      <c r="J2" s="374"/>
      <c r="K2" s="374"/>
      <c r="L2" s="374"/>
      <c r="M2" s="374"/>
      <c r="N2" s="374"/>
      <c r="O2" s="374"/>
    </row>
    <row r="3" spans="2:16">
      <c r="B3" s="369"/>
      <c r="C3" s="369" t="s">
        <v>33</v>
      </c>
      <c r="D3" s="374"/>
      <c r="E3" s="374"/>
      <c r="F3" s="374"/>
      <c r="G3" s="374"/>
      <c r="H3" s="374"/>
      <c r="I3" s="374"/>
      <c r="J3" s="374"/>
      <c r="K3" s="374"/>
      <c r="L3" s="374"/>
      <c r="M3" s="374"/>
      <c r="N3" s="374"/>
      <c r="O3" s="374"/>
    </row>
    <row r="4" spans="2:16">
      <c r="B4" s="369"/>
      <c r="C4" s="369" t="s">
        <v>34</v>
      </c>
      <c r="D4" s="374" t="str">
        <f>Cover!C11</f>
        <v>Base Case</v>
      </c>
      <c r="E4" s="374"/>
      <c r="F4" s="374"/>
      <c r="G4" s="374"/>
      <c r="H4" s="374"/>
      <c r="I4" s="374"/>
      <c r="J4" s="374"/>
      <c r="K4" s="374"/>
      <c r="L4" s="374"/>
      <c r="M4" s="374"/>
      <c r="N4" s="374"/>
      <c r="O4" s="374"/>
    </row>
    <row r="5" spans="2:16">
      <c r="B5" s="369"/>
      <c r="C5" s="369"/>
      <c r="D5" s="375"/>
      <c r="E5" s="375"/>
      <c r="F5" s="780" t="s">
        <v>35</v>
      </c>
      <c r="G5" s="780"/>
      <c r="H5" s="780"/>
      <c r="I5" s="780"/>
      <c r="J5" s="780"/>
      <c r="K5" s="780" t="s">
        <v>36</v>
      </c>
      <c r="L5" s="780"/>
      <c r="M5" s="780"/>
      <c r="N5" s="780"/>
      <c r="O5" s="780"/>
    </row>
    <row r="6" spans="2:16">
      <c r="B6" s="369"/>
      <c r="C6" s="369" t="s">
        <v>37</v>
      </c>
      <c r="D6" s="375"/>
      <c r="E6" s="375"/>
      <c r="F6" s="376">
        <v>20</v>
      </c>
      <c r="G6" s="376">
        <f t="shared" ref="G6:O6" si="0">F6+1</f>
        <v>21</v>
      </c>
      <c r="H6" s="376">
        <f t="shared" si="0"/>
        <v>22</v>
      </c>
      <c r="I6" s="376">
        <f t="shared" si="0"/>
        <v>23</v>
      </c>
      <c r="J6" s="376">
        <f t="shared" si="0"/>
        <v>24</v>
      </c>
      <c r="K6" s="631">
        <f t="shared" si="0"/>
        <v>25</v>
      </c>
      <c r="L6" s="631">
        <f t="shared" si="0"/>
        <v>26</v>
      </c>
      <c r="M6" s="631">
        <f t="shared" si="0"/>
        <v>27</v>
      </c>
      <c r="N6" s="631">
        <f t="shared" si="0"/>
        <v>28</v>
      </c>
      <c r="O6" s="631">
        <f t="shared" si="0"/>
        <v>29</v>
      </c>
      <c r="P6" s="58"/>
    </row>
    <row r="8" spans="2:16">
      <c r="C8" s="57" t="s">
        <v>38</v>
      </c>
      <c r="E8" s="1"/>
      <c r="F8" s="1"/>
      <c r="G8" s="1"/>
      <c r="H8" s="1"/>
      <c r="I8" s="1"/>
      <c r="J8" s="1"/>
      <c r="K8" s="1"/>
      <c r="L8" s="1"/>
      <c r="M8" s="1"/>
      <c r="N8" s="1"/>
      <c r="O8" s="1"/>
    </row>
    <row r="9" spans="2:16">
      <c r="E9" s="1"/>
      <c r="F9" s="1"/>
      <c r="G9" s="1"/>
      <c r="H9" s="1"/>
      <c r="I9" s="1"/>
      <c r="J9" s="1"/>
      <c r="K9" s="1"/>
      <c r="L9" s="1"/>
      <c r="M9" s="1"/>
      <c r="N9" s="1"/>
      <c r="O9" s="1"/>
    </row>
    <row r="10" spans="2:16">
      <c r="B10" s="59"/>
      <c r="C10" s="620" t="s">
        <v>39</v>
      </c>
      <c r="D10" s="621"/>
      <c r="E10" s="621"/>
      <c r="F10" s="621"/>
      <c r="G10" s="621"/>
      <c r="H10" s="621"/>
      <c r="I10" s="621"/>
      <c r="J10" s="621"/>
      <c r="K10" s="621"/>
      <c r="L10" s="621"/>
      <c r="M10" s="621"/>
      <c r="N10" s="621"/>
      <c r="O10" s="621"/>
    </row>
    <row r="11" spans="2:16">
      <c r="C11" s="57" t="s">
        <v>40</v>
      </c>
      <c r="E11" s="1"/>
      <c r="F11" s="630">
        <f>'3FS'!E13</f>
        <v>0.219</v>
      </c>
      <c r="G11" s="630">
        <f>'3FS'!F13</f>
        <v>4.5979999999999999</v>
      </c>
      <c r="H11" s="630">
        <f>'3FS'!G13</f>
        <v>17.923999999999999</v>
      </c>
      <c r="I11" s="630">
        <f>'3FS'!H13</f>
        <v>16.378</v>
      </c>
      <c r="J11" s="630">
        <f>'3FS'!I13</f>
        <v>15.606</v>
      </c>
      <c r="K11" s="630">
        <f>'3FS'!J13</f>
        <v>174.94326000000001</v>
      </c>
      <c r="L11" s="630">
        <f>'3FS'!K13</f>
        <v>769.7380979717999</v>
      </c>
      <c r="M11" s="630">
        <f>'3FS'!L13</f>
        <v>1641.2176299004077</v>
      </c>
      <c r="N11" s="630">
        <f>'3FS'!M13</f>
        <v>2259.9810283825741</v>
      </c>
      <c r="O11" s="630">
        <f>'3FS'!N13</f>
        <v>2543.712473181959</v>
      </c>
    </row>
    <row r="12" spans="2:16">
      <c r="C12" s="625" t="s">
        <v>534</v>
      </c>
      <c r="D12" s="625"/>
      <c r="E12" s="1"/>
      <c r="F12" s="463">
        <f>PPE!H29</f>
        <v>3.605</v>
      </c>
      <c r="G12" s="463">
        <f>PPE!I29</f>
        <v>15.589</v>
      </c>
      <c r="H12" s="463">
        <f>PPE!J29</f>
        <v>20.071999999999999</v>
      </c>
      <c r="I12" s="463">
        <f>PPE!K29</f>
        <v>29.323</v>
      </c>
      <c r="J12" s="463">
        <f>PPE!L29</f>
        <v>33.152000000000001</v>
      </c>
      <c r="K12" s="463">
        <f ca="1">PPE!M29</f>
        <v>46.628407670567881</v>
      </c>
      <c r="L12" s="463">
        <f ca="1">PPE!N29</f>
        <v>91.6421690735271</v>
      </c>
      <c r="M12" s="463">
        <f ca="1">PPE!O29</f>
        <v>180.71686921209806</v>
      </c>
      <c r="N12" s="463">
        <f ca="1">PPE!P29</f>
        <v>334.55128298688044</v>
      </c>
      <c r="O12" s="463">
        <f ca="1">PPE!Q29</f>
        <v>621.58757680238341</v>
      </c>
    </row>
    <row r="13" spans="2:16">
      <c r="C13" s="625"/>
      <c r="D13" s="625"/>
      <c r="E13" s="1"/>
      <c r="F13" s="773">
        <f>F12/F11</f>
        <v>16.461187214611872</v>
      </c>
      <c r="G13" s="773">
        <f t="shared" ref="G13:O13" si="1">G12/G11</f>
        <v>3.3903871248368858</v>
      </c>
      <c r="H13" s="773">
        <f t="shared" si="1"/>
        <v>1.1198393215800044</v>
      </c>
      <c r="I13" s="773">
        <f t="shared" si="1"/>
        <v>1.79038954695323</v>
      </c>
      <c r="J13" s="773">
        <f t="shared" si="1"/>
        <v>2.1243111623734463</v>
      </c>
      <c r="K13" s="773">
        <f t="shared" ca="1" si="1"/>
        <v>0.26653446191964114</v>
      </c>
      <c r="L13" s="773">
        <f t="shared" ca="1" si="1"/>
        <v>0.11905629890867699</v>
      </c>
      <c r="M13" s="773">
        <f t="shared" ca="1" si="1"/>
        <v>0.11011145988181002</v>
      </c>
      <c r="N13" s="773">
        <f t="shared" ca="1" si="1"/>
        <v>0.14803278380894749</v>
      </c>
      <c r="O13" s="773">
        <f t="shared" ca="1" si="1"/>
        <v>0.24436235752102611</v>
      </c>
    </row>
    <row r="14" spans="2:16" s="65" customFormat="1">
      <c r="C14" s="65" t="s">
        <v>41</v>
      </c>
      <c r="E14" s="360"/>
      <c r="F14" s="630">
        <f>'3FS'!E29</f>
        <v>0</v>
      </c>
      <c r="G14" s="630">
        <f>'3FS'!F29</f>
        <v>-101.693</v>
      </c>
      <c r="H14" s="630">
        <f>'3FS'!G29</f>
        <v>-207.59800000000001</v>
      </c>
      <c r="I14" s="630">
        <f>'3FS'!H29</f>
        <v>-136.07</v>
      </c>
      <c r="J14" s="630">
        <f>'3FS'!I29</f>
        <v>-158.21700000000001</v>
      </c>
      <c r="K14" s="630">
        <f ca="1">'3FS'!J29</f>
        <v>-0.43026561351621778</v>
      </c>
      <c r="L14" s="630">
        <f ca="1">'3FS'!K29</f>
        <v>64.3267512260377</v>
      </c>
      <c r="M14" s="630">
        <f ca="1">'3FS'!L29</f>
        <v>361.55404101209166</v>
      </c>
      <c r="N14" s="630">
        <f ca="1">'3FS'!M29</f>
        <v>845.62580227862532</v>
      </c>
      <c r="O14" s="630">
        <f ca="1">'3FS'!N29</f>
        <v>1397.5829716665787</v>
      </c>
    </row>
    <row r="15" spans="2:16">
      <c r="C15" s="57" t="s">
        <v>42</v>
      </c>
      <c r="E15" s="1"/>
      <c r="F15" s="630">
        <f>'3FS'!E37</f>
        <v>-70.643000000000001</v>
      </c>
      <c r="G15" s="630">
        <f>'3FS'!F37</f>
        <v>-124.26599999999999</v>
      </c>
      <c r="H15" s="630">
        <f>'3FS'!G37</f>
        <v>-229.71599999999998</v>
      </c>
      <c r="I15" s="630">
        <f>'3FS'!H37</f>
        <v>-229.51599999999999</v>
      </c>
      <c r="J15" s="630">
        <f>'3FS'!I37</f>
        <v>-685.81600000000003</v>
      </c>
      <c r="K15" s="630">
        <f ca="1">'3FS'!J37</f>
        <v>-39.452179690411143</v>
      </c>
      <c r="L15" s="630">
        <f ca="1">'3FS'!K37</f>
        <v>9.1605308865289032</v>
      </c>
      <c r="M15" s="630">
        <f ca="1">'3FS'!L37</f>
        <v>290.05615426635006</v>
      </c>
      <c r="N15" s="630">
        <f ca="1">'3FS'!M37</f>
        <v>712.15713812029946</v>
      </c>
      <c r="O15" s="630">
        <f ca="1">'3FS'!N37</f>
        <v>1153.5639630021938</v>
      </c>
    </row>
    <row r="16" spans="2:16">
      <c r="C16" s="20" t="s">
        <v>43</v>
      </c>
      <c r="D16" s="626"/>
      <c r="E16" s="619"/>
      <c r="F16" s="630">
        <f>'3FS'!E26</f>
        <v>-37.416999999999994</v>
      </c>
      <c r="G16" s="630">
        <f>'3FS'!F26</f>
        <v>-104.306</v>
      </c>
      <c r="H16" s="630">
        <f>'3FS'!G26</f>
        <v>-214.41199999999998</v>
      </c>
      <c r="I16" s="630">
        <f>'3FS'!H26</f>
        <v>-145.77800000000002</v>
      </c>
      <c r="J16" s="630">
        <f>'3FS'!I26</f>
        <v>-166.066</v>
      </c>
      <c r="K16" s="630">
        <f>'3FS'!J26</f>
        <v>-17.494326000000001</v>
      </c>
      <c r="L16" s="630">
        <f>'3FS'!K26</f>
        <v>30.789523918872021</v>
      </c>
      <c r="M16" s="630">
        <f>'3FS'!L26</f>
        <v>295.41917338207344</v>
      </c>
      <c r="N16" s="630">
        <f>'3FS'!M26</f>
        <v>723.19392908242389</v>
      </c>
      <c r="O16" s="630">
        <f>'3FS'!N26</f>
        <v>1170.1077376637013</v>
      </c>
    </row>
    <row r="17" spans="3:15">
      <c r="E17" s="1"/>
      <c r="F17" s="630"/>
      <c r="G17" s="630"/>
      <c r="H17" s="630"/>
      <c r="I17" s="630"/>
      <c r="J17" s="630"/>
      <c r="K17" s="630"/>
      <c r="L17" s="630"/>
      <c r="M17" s="630"/>
      <c r="N17" s="630"/>
      <c r="O17" s="630"/>
    </row>
    <row r="18" spans="3:15">
      <c r="C18" s="625" t="s">
        <v>44</v>
      </c>
      <c r="D18" s="625"/>
      <c r="E18" s="1"/>
      <c r="F18" s="630">
        <f>'3FS'!E40</f>
        <v>-70.643000000000001</v>
      </c>
      <c r="G18" s="630">
        <f>'3FS'!F40</f>
        <v>-124.26599999999999</v>
      </c>
      <c r="H18" s="630">
        <f>'3FS'!G40</f>
        <v>-229.76699999999997</v>
      </c>
      <c r="I18" s="630">
        <f>'3FS'!H40</f>
        <v>-229.547</v>
      </c>
      <c r="J18" s="630">
        <f>'3FS'!I40</f>
        <v>-685.83699999999999</v>
      </c>
      <c r="K18" s="630">
        <f ca="1">'3FS'!J40</f>
        <v>-39.453387734220996</v>
      </c>
      <c r="L18" s="630">
        <f ca="1">'3FS'!K40</f>
        <v>9.160811386179855</v>
      </c>
      <c r="M18" s="630">
        <f ca="1">'3FS'!L40</f>
        <v>290.06503591862941</v>
      </c>
      <c r="N18" s="630">
        <f ca="1">'3FS'!M40</f>
        <v>712.17894469801206</v>
      </c>
      <c r="O18" s="630">
        <f ca="1">'3FS'!N40</f>
        <v>1153.5992856590333</v>
      </c>
    </row>
    <row r="19" spans="3:15" s="65" customFormat="1">
      <c r="C19" s="703"/>
      <c r="D19" s="703"/>
      <c r="E19" s="360"/>
      <c r="F19" s="360"/>
      <c r="G19" s="360"/>
      <c r="H19" s="360"/>
      <c r="I19" s="360"/>
      <c r="J19" s="360"/>
      <c r="K19" s="360"/>
      <c r="L19" s="360"/>
      <c r="M19" s="360"/>
      <c r="N19" s="360"/>
      <c r="O19" s="360"/>
    </row>
    <row r="20" spans="3:15" s="65" customFormat="1">
      <c r="E20" s="368"/>
      <c r="F20" s="360"/>
      <c r="G20" s="360"/>
      <c r="H20" s="360"/>
      <c r="I20" s="360"/>
      <c r="J20" s="360"/>
      <c r="K20" s="704"/>
      <c r="L20" s="704"/>
      <c r="M20" s="704"/>
      <c r="N20" s="704"/>
      <c r="O20" s="704"/>
    </row>
    <row r="21" spans="3:15" s="65" customFormat="1">
      <c r="C21" s="624" t="s">
        <v>45</v>
      </c>
      <c r="D21" s="622"/>
      <c r="E21" s="623"/>
      <c r="F21" s="622"/>
      <c r="G21" s="622"/>
      <c r="H21" s="622"/>
      <c r="I21" s="622"/>
      <c r="J21" s="622"/>
      <c r="K21" s="705"/>
      <c r="L21" s="705"/>
      <c r="M21" s="705"/>
      <c r="N21" s="705"/>
      <c r="O21" s="705"/>
    </row>
    <row r="22" spans="3:15" s="65" customFormat="1">
      <c r="C22" s="65" t="s">
        <v>46</v>
      </c>
      <c r="E22" s="368"/>
      <c r="F22" s="630">
        <f>'3FS'!E67</f>
        <v>138.26399999999998</v>
      </c>
      <c r="G22" s="630">
        <f>'3FS'!F67</f>
        <v>169.17500000000001</v>
      </c>
      <c r="H22" s="630">
        <f>'3FS'!G67</f>
        <v>106.78800000000001</v>
      </c>
      <c r="I22" s="630">
        <f>'3FS'!H67</f>
        <v>186.49199999999999</v>
      </c>
      <c r="J22" s="630">
        <f>'3FS'!I67</f>
        <v>260.31799999999998</v>
      </c>
      <c r="K22" s="630">
        <f ca="1">'3FS'!J67</f>
        <v>340.72588900625078</v>
      </c>
      <c r="L22" s="630">
        <f ca="1">'3FS'!K67</f>
        <v>1980.9591750161417</v>
      </c>
      <c r="M22" s="630">
        <f ca="1">'3FS'!L67</f>
        <v>5643.7823229547384</v>
      </c>
      <c r="N22" s="630">
        <f ca="1">'3FS'!M67</f>
        <v>9598.5825733124111</v>
      </c>
      <c r="O22" s="630">
        <f ca="1">'3FS'!N67</f>
        <v>13436.195299183777</v>
      </c>
    </row>
    <row r="23" spans="3:15">
      <c r="C23" s="57" t="s">
        <v>47</v>
      </c>
      <c r="E23" s="1"/>
      <c r="F23" s="627"/>
      <c r="G23" s="706">
        <f>AVERAGE(F22:G22)</f>
        <v>153.71949999999998</v>
      </c>
      <c r="H23" s="706">
        <f t="shared" ref="H23:O23" si="2">AVERAGE(G22:H22)</f>
        <v>137.98150000000001</v>
      </c>
      <c r="I23" s="706">
        <f t="shared" si="2"/>
        <v>146.63999999999999</v>
      </c>
      <c r="J23" s="706">
        <f t="shared" si="2"/>
        <v>223.40499999999997</v>
      </c>
      <c r="K23" s="706">
        <f t="shared" ca="1" si="2"/>
        <v>300.52194450312538</v>
      </c>
      <c r="L23" s="706">
        <f t="shared" ca="1" si="2"/>
        <v>1160.8425320111962</v>
      </c>
      <c r="M23" s="706">
        <f t="shared" ca="1" si="2"/>
        <v>3812.3707489854401</v>
      </c>
      <c r="N23" s="706">
        <f t="shared" ca="1" si="2"/>
        <v>7621.1824481335752</v>
      </c>
      <c r="O23" s="706">
        <f t="shared" ca="1" si="2"/>
        <v>11517.388936248095</v>
      </c>
    </row>
    <row r="24" spans="3:15">
      <c r="C24" s="626"/>
      <c r="D24" s="626"/>
      <c r="E24" s="619"/>
      <c r="F24" s="628"/>
      <c r="G24" s="628"/>
      <c r="H24" s="628"/>
      <c r="I24" s="628"/>
      <c r="J24" s="628"/>
      <c r="K24" s="628"/>
      <c r="L24" s="628"/>
      <c r="M24" s="628"/>
      <c r="N24" s="628"/>
      <c r="O24" s="628"/>
    </row>
    <row r="25" spans="3:15">
      <c r="C25" s="57" t="s">
        <v>48</v>
      </c>
      <c r="E25" s="1"/>
      <c r="F25" s="630">
        <f>'3FS'!E95</f>
        <v>120.785</v>
      </c>
      <c r="G25" s="630">
        <f>'3FS'!F95</f>
        <v>32.447000000000003</v>
      </c>
      <c r="H25" s="630">
        <f>'3FS'!G95</f>
        <v>-132.71099999999998</v>
      </c>
      <c r="I25" s="630">
        <f>'3FS'!H95</f>
        <v>-110.80000000000001</v>
      </c>
      <c r="J25" s="630">
        <f>'3FS'!I95</f>
        <v>-581.76699999999994</v>
      </c>
      <c r="K25" s="630">
        <f ca="1">'3FS'!J95</f>
        <v>-486.61008442915499</v>
      </c>
      <c r="L25" s="630">
        <f ca="1">'3FS'!K95</f>
        <v>114.92783716808322</v>
      </c>
      <c r="M25" s="630">
        <f ca="1">'3FS'!L95</f>
        <v>1668.0455391682917</v>
      </c>
      <c r="N25" s="630">
        <f ca="1">'3FS'!M95</f>
        <v>4119.466745945595</v>
      </c>
      <c r="O25" s="630">
        <f ca="1">'3FS'!N95</f>
        <v>7230.6631000643447</v>
      </c>
    </row>
    <row r="26" spans="3:15">
      <c r="C26" s="625" t="s">
        <v>49</v>
      </c>
      <c r="D26" s="625"/>
      <c r="E26" s="1"/>
      <c r="F26" s="629"/>
      <c r="G26" s="706">
        <f>AVERAGE(F25:G25)</f>
        <v>76.616</v>
      </c>
      <c r="H26" s="706">
        <f t="shared" ref="H26:O26" si="3">AVERAGE(G25:H25)</f>
        <v>-50.131999999999991</v>
      </c>
      <c r="I26" s="706">
        <f t="shared" si="3"/>
        <v>-121.7555</v>
      </c>
      <c r="J26" s="706">
        <f t="shared" si="3"/>
        <v>-346.2835</v>
      </c>
      <c r="K26" s="706">
        <f t="shared" ca="1" si="3"/>
        <v>-534.18854221457741</v>
      </c>
      <c r="L26" s="706">
        <f t="shared" ca="1" si="3"/>
        <v>-185.84112363053589</v>
      </c>
      <c r="M26" s="706">
        <f t="shared" ca="1" si="3"/>
        <v>891.48668816818747</v>
      </c>
      <c r="N26" s="706">
        <f t="shared" ca="1" si="3"/>
        <v>2893.7561425569434</v>
      </c>
      <c r="O26" s="706">
        <f t="shared" ca="1" si="3"/>
        <v>5675.0649230049694</v>
      </c>
    </row>
    <row r="27" spans="3:15">
      <c r="E27" s="1"/>
      <c r="F27" s="360"/>
      <c r="G27" s="360"/>
      <c r="H27" s="360"/>
      <c r="I27" s="360"/>
      <c r="J27" s="360"/>
      <c r="K27" s="360"/>
      <c r="L27" s="360"/>
      <c r="M27" s="360"/>
      <c r="N27" s="360"/>
      <c r="O27" s="360"/>
    </row>
    <row r="28" spans="3:15">
      <c r="E28" s="1"/>
      <c r="F28" s="12"/>
      <c r="G28" s="12"/>
      <c r="H28" s="12"/>
      <c r="I28" s="12"/>
      <c r="J28" s="12"/>
      <c r="K28" s="29"/>
      <c r="L28" s="29"/>
      <c r="M28" s="29"/>
      <c r="N28" s="29"/>
      <c r="O28" s="29"/>
    </row>
    <row r="29" spans="3:15" s="65" customFormat="1">
      <c r="E29" s="360"/>
      <c r="F29" s="360"/>
      <c r="G29" s="360"/>
      <c r="H29" s="360"/>
      <c r="I29" s="360"/>
      <c r="J29" s="360"/>
      <c r="K29" s="360"/>
      <c r="L29" s="360"/>
      <c r="M29" s="360"/>
      <c r="N29" s="360"/>
      <c r="O29" s="360"/>
    </row>
    <row r="30" spans="3:15" s="65" customFormat="1">
      <c r="C30" s="624" t="s">
        <v>50</v>
      </c>
      <c r="D30" s="622"/>
      <c r="E30" s="623"/>
      <c r="F30" s="622"/>
      <c r="G30" s="622"/>
      <c r="H30" s="622"/>
      <c r="I30" s="622"/>
      <c r="J30" s="622"/>
      <c r="K30" s="705"/>
      <c r="L30" s="705"/>
      <c r="M30" s="705"/>
      <c r="N30" s="705"/>
      <c r="O30" s="705"/>
    </row>
    <row r="31" spans="3:15" s="65" customFormat="1">
      <c r="C31" s="65" t="s">
        <v>51</v>
      </c>
      <c r="E31" s="368"/>
      <c r="F31" s="707">
        <f>F15/F16</f>
        <v>1.8879920891573352</v>
      </c>
      <c r="G31" s="707">
        <f t="shared" ref="G31:O31" si="4">G15/G16</f>
        <v>1.1913600368147566</v>
      </c>
      <c r="H31" s="707">
        <f t="shared" si="4"/>
        <v>1.0713766020558551</v>
      </c>
      <c r="I31" s="707">
        <f t="shared" si="4"/>
        <v>1.5744213804552125</v>
      </c>
      <c r="J31" s="707">
        <f t="shared" si="4"/>
        <v>4.1297797261329832</v>
      </c>
      <c r="K31" s="707">
        <f t="shared" ca="1" si="4"/>
        <v>2.2551414493139741</v>
      </c>
      <c r="L31" s="707">
        <f t="shared" ca="1" si="4"/>
        <v>0.29752103055137141</v>
      </c>
      <c r="M31" s="707">
        <f t="shared" ca="1" si="4"/>
        <v>0.98184606958876286</v>
      </c>
      <c r="N31" s="707">
        <f t="shared" ca="1" si="4"/>
        <v>0.98473882243988453</v>
      </c>
      <c r="O31" s="707">
        <f t="shared" ca="1" si="4"/>
        <v>0.98586132359526168</v>
      </c>
    </row>
    <row r="32" spans="3:15" s="65" customFormat="1">
      <c r="C32" s="65" t="s">
        <v>52</v>
      </c>
      <c r="E32" s="368"/>
      <c r="F32" s="707">
        <f>F18/F15</f>
        <v>1</v>
      </c>
      <c r="G32" s="707">
        <f t="shared" ref="G32:O32" si="5">G18/G15</f>
        <v>1</v>
      </c>
      <c r="H32" s="707">
        <f t="shared" si="5"/>
        <v>1.0002220132685578</v>
      </c>
      <c r="I32" s="707">
        <f t="shared" si="5"/>
        <v>1.0001350668362989</v>
      </c>
      <c r="J32" s="707">
        <f t="shared" si="5"/>
        <v>1.0000306204579654</v>
      </c>
      <c r="K32" s="707">
        <f t="shared" ca="1" si="5"/>
        <v>1.0000306204579654</v>
      </c>
      <c r="L32" s="707">
        <f t="shared" ca="1" si="5"/>
        <v>1.0000306204579654</v>
      </c>
      <c r="M32" s="707">
        <f t="shared" ca="1" si="5"/>
        <v>1.0000306204579654</v>
      </c>
      <c r="N32" s="707">
        <f t="shared" ca="1" si="5"/>
        <v>1.0000306204579654</v>
      </c>
      <c r="O32" s="707">
        <f t="shared" ca="1" si="5"/>
        <v>1.0000306204579654</v>
      </c>
    </row>
    <row r="33" spans="3:15" s="65" customFormat="1">
      <c r="C33" s="65" t="s">
        <v>53</v>
      </c>
      <c r="E33" s="368"/>
      <c r="F33" s="704">
        <f t="shared" ref="F33:O33" si="6">F16/F11</f>
        <v>-170.85388127853878</v>
      </c>
      <c r="G33" s="704">
        <f t="shared" si="6"/>
        <v>-22.685080469769463</v>
      </c>
      <c r="H33" s="704">
        <f t="shared" si="6"/>
        <v>-11.96228520419549</v>
      </c>
      <c r="I33" s="704">
        <f t="shared" si="6"/>
        <v>-8.9008425937232882</v>
      </c>
      <c r="J33" s="704">
        <f t="shared" si="6"/>
        <v>-10.641163655004485</v>
      </c>
      <c r="K33" s="704">
        <f t="shared" si="6"/>
        <v>-0.1</v>
      </c>
      <c r="L33" s="704">
        <f t="shared" si="6"/>
        <v>4.0000000000000036E-2</v>
      </c>
      <c r="M33" s="704">
        <f t="shared" si="6"/>
        <v>0.18000000000000002</v>
      </c>
      <c r="N33" s="704">
        <f t="shared" si="6"/>
        <v>0.32000000000000006</v>
      </c>
      <c r="O33" s="704">
        <f t="shared" si="6"/>
        <v>0.46000000000000008</v>
      </c>
    </row>
    <row r="34" spans="3:15" s="65" customFormat="1">
      <c r="C34" s="57" t="s">
        <v>54</v>
      </c>
      <c r="D34" s="57"/>
      <c r="E34" s="1"/>
      <c r="F34" s="704"/>
      <c r="G34" s="704">
        <f t="shared" ref="G34:O34" si="7">G11/G23</f>
        <v>2.9911624745071384E-2</v>
      </c>
      <c r="H34" s="704">
        <f t="shared" si="7"/>
        <v>0.12990147229882265</v>
      </c>
      <c r="I34" s="704">
        <f t="shared" si="7"/>
        <v>0.1116884888161484</v>
      </c>
      <c r="J34" s="704">
        <f t="shared" si="7"/>
        <v>6.9855195720776184E-2</v>
      </c>
      <c r="K34" s="704">
        <f t="shared" ca="1" si="7"/>
        <v>0.58213139905389044</v>
      </c>
      <c r="L34" s="704">
        <f t="shared" ca="1" si="7"/>
        <v>0.66308571295902163</v>
      </c>
      <c r="M34" s="704">
        <f t="shared" ca="1" si="7"/>
        <v>0.4304979074601214</v>
      </c>
      <c r="N34" s="704">
        <f t="shared" ca="1" si="7"/>
        <v>0.29653942072152367</v>
      </c>
      <c r="O34" s="704">
        <f t="shared" ca="1" si="7"/>
        <v>0.22085843304086586</v>
      </c>
    </row>
    <row r="35" spans="3:15" s="65" customFormat="1">
      <c r="C35" s="65" t="s">
        <v>55</v>
      </c>
      <c r="E35" s="360"/>
      <c r="F35" s="704"/>
      <c r="G35" s="704">
        <f>G23/G26</f>
        <v>2.0063629006995924</v>
      </c>
      <c r="H35" s="704">
        <f t="shared" ref="H35:O35" si="8">H23/H26</f>
        <v>-2.7523637596744601</v>
      </c>
      <c r="I35" s="704">
        <f t="shared" si="8"/>
        <v>-1.2043809109239418</v>
      </c>
      <c r="J35" s="704">
        <f t="shared" si="8"/>
        <v>-0.64515057748925364</v>
      </c>
      <c r="K35" s="704">
        <f t="shared" ca="1" si="8"/>
        <v>-0.56257654508510435</v>
      </c>
      <c r="L35" s="704">
        <f t="shared" ca="1" si="8"/>
        <v>-6.2464244152926343</v>
      </c>
      <c r="M35" s="704">
        <f t="shared" ca="1" si="8"/>
        <v>4.2764191541873027</v>
      </c>
      <c r="N35" s="704">
        <f t="shared" ca="1" si="8"/>
        <v>2.6336643700043934</v>
      </c>
      <c r="O35" s="704">
        <f t="shared" ca="1" si="8"/>
        <v>2.0294726302707375</v>
      </c>
    </row>
    <row r="36" spans="3:15" s="65" customFormat="1">
      <c r="E36" s="368"/>
      <c r="F36" s="704"/>
      <c r="G36" s="704"/>
      <c r="H36" s="704"/>
      <c r="I36" s="704"/>
      <c r="J36" s="704"/>
      <c r="K36" s="704"/>
      <c r="L36" s="704"/>
      <c r="M36" s="704"/>
      <c r="N36" s="704"/>
      <c r="O36" s="704"/>
    </row>
    <row r="37" spans="3:15" s="65" customFormat="1">
      <c r="C37" s="65" t="s">
        <v>56</v>
      </c>
      <c r="E37" s="368"/>
      <c r="F37" s="704"/>
      <c r="G37" s="704">
        <f>G31*G32*G33*G35*G34</f>
        <v>-1.6219327555601961</v>
      </c>
      <c r="H37" s="704">
        <f t="shared" ref="H37:O37" si="9">H31*H32*H33*H35*H34</f>
        <v>4.5832402457512167</v>
      </c>
      <c r="I37" s="704">
        <f t="shared" si="9"/>
        <v>1.8853111358419128</v>
      </c>
      <c r="J37" s="704">
        <f t="shared" si="9"/>
        <v>1.9805650572435591</v>
      </c>
      <c r="K37" s="704">
        <f t="shared" ca="1" si="9"/>
        <v>7.3856671598869703E-2</v>
      </c>
      <c r="L37" s="704">
        <f t="shared" ca="1" si="9"/>
        <v>-4.9293779585578373E-2</v>
      </c>
      <c r="M37" s="704">
        <f t="shared" ca="1" si="9"/>
        <v>0.32537225711653683</v>
      </c>
      <c r="N37" s="704">
        <f t="shared" ca="1" si="9"/>
        <v>0.24610883212457765</v>
      </c>
      <c r="O37" s="704">
        <f t="shared" ca="1" si="9"/>
        <v>0.20327508166165578</v>
      </c>
    </row>
    <row r="38" spans="3:15">
      <c r="E38" s="1"/>
      <c r="F38" s="1"/>
      <c r="G38" s="1"/>
      <c r="H38" s="1"/>
      <c r="I38" s="1"/>
      <c r="J38" s="1"/>
      <c r="K38" s="1"/>
      <c r="L38" s="1"/>
      <c r="M38" s="1"/>
      <c r="N38" s="1"/>
      <c r="O38" s="1"/>
    </row>
    <row r="39" spans="3:15">
      <c r="E39" s="1"/>
      <c r="F39" s="1"/>
      <c r="G39" s="1"/>
      <c r="H39" s="1"/>
      <c r="I39" s="1"/>
      <c r="J39" s="1"/>
      <c r="K39" s="1"/>
      <c r="L39" s="1"/>
      <c r="M39" s="1"/>
      <c r="N39" s="1"/>
      <c r="O39" s="1"/>
    </row>
    <row r="40" spans="3:15">
      <c r="E40" s="1"/>
      <c r="F40" s="1"/>
      <c r="G40" s="1"/>
      <c r="H40" s="1"/>
      <c r="I40" s="1"/>
      <c r="J40" s="1"/>
      <c r="K40" s="1"/>
      <c r="L40" s="1"/>
      <c r="M40" s="1"/>
      <c r="N40" s="1"/>
      <c r="O40" s="1"/>
    </row>
    <row r="41" spans="3:15">
      <c r="E41" s="1"/>
      <c r="F41" s="1"/>
      <c r="G41" s="1"/>
      <c r="H41" s="1"/>
      <c r="I41" s="1"/>
      <c r="J41" s="1"/>
      <c r="K41" s="1"/>
      <c r="L41" s="1"/>
      <c r="M41" s="1"/>
      <c r="N41" s="1"/>
      <c r="O41" s="1"/>
    </row>
    <row r="42" spans="3:15">
      <c r="E42" s="1"/>
      <c r="F42" s="1"/>
      <c r="G42" s="1"/>
      <c r="H42" s="1"/>
      <c r="I42" s="1"/>
      <c r="J42" s="1"/>
      <c r="K42" s="1"/>
      <c r="L42" s="1"/>
      <c r="M42" s="1"/>
      <c r="N42" s="1"/>
      <c r="O42" s="1"/>
    </row>
    <row r="43" spans="3:15">
      <c r="E43" s="1"/>
      <c r="F43" s="1"/>
      <c r="G43" s="1"/>
      <c r="H43" s="1"/>
      <c r="I43" s="1"/>
      <c r="J43" s="1"/>
      <c r="K43" s="1"/>
      <c r="L43" s="1"/>
      <c r="M43" s="1"/>
      <c r="N43" s="1"/>
      <c r="O43" s="1"/>
    </row>
  </sheetData>
  <mergeCells count="2">
    <mergeCell ref="F5:J5"/>
    <mergeCell ref="K5:O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71CA0-D7BA-5A47-846C-B1FE2BB30F4D}">
  <sheetPr>
    <tabColor rgb="FF002060"/>
  </sheetPr>
  <dimension ref="A1"/>
  <sheetViews>
    <sheetView workbookViewId="0"/>
  </sheetViews>
  <sheetFormatPr baseColWidth="10" defaultColWidth="11.5" defaultRowHeight="1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5AA0E-2B4D-764D-88F2-F69284278897}">
  <dimension ref="B2:X139"/>
  <sheetViews>
    <sheetView topLeftCell="A4" zoomScaleNormal="157" workbookViewId="0">
      <pane ySplit="6" topLeftCell="A47" activePane="bottomLeft" state="frozen"/>
      <selection activeCell="A4" sqref="A4"/>
      <selection pane="bottomLeft" activeCell="F57" sqref="F57"/>
    </sheetView>
  </sheetViews>
  <sheetFormatPr baseColWidth="10" defaultColWidth="8.5" defaultRowHeight="16"/>
  <cols>
    <col min="1" max="1" width="2.5" style="57" customWidth="1"/>
    <col min="2" max="2" width="2.6640625" style="57" bestFit="1" customWidth="1"/>
    <col min="3" max="3" width="2.5" style="57" customWidth="1"/>
    <col min="4" max="4" width="27" style="57" customWidth="1"/>
    <col min="5" max="5" width="19" style="57" customWidth="1"/>
    <col min="6" max="6" width="15.6640625" style="57" bestFit="1" customWidth="1"/>
    <col min="7" max="16" width="10.83203125" style="57" customWidth="1"/>
    <col min="17" max="17" width="9" style="57" bestFit="1" customWidth="1"/>
    <col min="18" max="18" width="8.5" style="57"/>
    <col min="19" max="19" width="19.6640625" style="57" customWidth="1"/>
    <col min="20" max="20" width="10.5" style="57" customWidth="1"/>
    <col min="21" max="21" width="14" style="57" bestFit="1" customWidth="1"/>
    <col min="22" max="22" width="20.5" style="57" bestFit="1" customWidth="1"/>
    <col min="23" max="23" width="18" style="57" bestFit="1" customWidth="1"/>
    <col min="24" max="16383" width="8.5" style="57"/>
    <col min="16384" max="16384" width="8.5" style="57" bestFit="1"/>
  </cols>
  <sheetData>
    <row r="2" spans="2:24" ht="24">
      <c r="B2" s="374"/>
      <c r="C2" s="369"/>
      <c r="D2" s="370" t="s">
        <v>32</v>
      </c>
      <c r="E2" s="375"/>
      <c r="F2" s="375"/>
      <c r="G2" s="375"/>
      <c r="H2" s="375"/>
      <c r="I2" s="375"/>
      <c r="J2" s="375"/>
      <c r="K2" s="375"/>
      <c r="L2" s="375"/>
      <c r="M2" s="375"/>
      <c r="N2" s="375"/>
      <c r="O2" s="375"/>
      <c r="P2" s="375"/>
    </row>
    <row r="3" spans="2:24">
      <c r="B3" s="374"/>
      <c r="C3" s="369"/>
      <c r="D3" s="369"/>
      <c r="E3" s="375"/>
      <c r="F3" s="375"/>
      <c r="G3" s="375"/>
      <c r="H3" s="375"/>
      <c r="I3" s="375"/>
      <c r="J3" s="375"/>
      <c r="K3" s="375"/>
      <c r="L3" s="375"/>
      <c r="M3" s="375"/>
      <c r="N3" s="375"/>
      <c r="O3" s="375"/>
      <c r="P3" s="375"/>
    </row>
    <row r="4" spans="2:24" ht="24">
      <c r="B4" s="374"/>
      <c r="C4" s="369"/>
      <c r="D4" s="370" t="s">
        <v>32</v>
      </c>
      <c r="E4" s="375"/>
      <c r="F4" s="375"/>
      <c r="G4" s="375"/>
      <c r="H4" s="375"/>
      <c r="I4" s="375"/>
      <c r="J4" s="375"/>
      <c r="K4" s="375"/>
      <c r="L4" s="375"/>
      <c r="M4" s="375"/>
      <c r="N4" s="375"/>
      <c r="O4" s="375"/>
      <c r="P4" s="375"/>
      <c r="Q4" s="375"/>
    </row>
    <row r="5" spans="2:24">
      <c r="B5" s="374"/>
      <c r="C5" s="369"/>
      <c r="D5" s="369"/>
      <c r="E5" s="375"/>
      <c r="F5" s="375"/>
      <c r="G5" s="375"/>
      <c r="H5" s="375"/>
      <c r="I5" s="375"/>
      <c r="J5" s="375"/>
      <c r="K5" s="375"/>
      <c r="L5" s="375"/>
      <c r="M5" s="375"/>
      <c r="N5" s="375"/>
      <c r="O5" s="375"/>
      <c r="P5" s="375"/>
      <c r="Q5" s="375"/>
    </row>
    <row r="6" spans="2:24">
      <c r="B6" s="374"/>
      <c r="C6" s="369"/>
      <c r="D6" s="369" t="s">
        <v>33</v>
      </c>
      <c r="E6" s="375"/>
      <c r="F6" s="375"/>
      <c r="G6" s="375"/>
      <c r="H6" s="375"/>
      <c r="I6" s="375"/>
      <c r="J6" s="375"/>
      <c r="K6" s="375"/>
      <c r="L6" s="375"/>
      <c r="M6" s="375"/>
      <c r="N6" s="375"/>
      <c r="O6" s="375"/>
      <c r="P6" s="375"/>
      <c r="Q6" s="375"/>
    </row>
    <row r="7" spans="2:24">
      <c r="B7" s="374"/>
      <c r="C7" s="369"/>
      <c r="D7" s="369" t="s">
        <v>34</v>
      </c>
      <c r="E7" s="375"/>
      <c r="F7" s="383" t="str">
        <f>Cover!C11</f>
        <v>Base Case</v>
      </c>
      <c r="G7" s="638"/>
      <c r="H7" s="375"/>
      <c r="I7" s="375"/>
      <c r="J7" s="375"/>
      <c r="K7" s="375"/>
      <c r="L7" s="375"/>
      <c r="M7" s="375"/>
      <c r="N7" s="375"/>
      <c r="O7" s="375"/>
      <c r="P7" s="375"/>
      <c r="Q7" s="375"/>
    </row>
    <row r="8" spans="2:24">
      <c r="B8" s="374"/>
      <c r="C8" s="369"/>
      <c r="D8" s="369"/>
      <c r="E8" s="375"/>
      <c r="F8" s="375"/>
      <c r="G8" s="375"/>
      <c r="H8" s="781" t="s">
        <v>35</v>
      </c>
      <c r="I8" s="781"/>
      <c r="J8" s="781"/>
      <c r="K8" s="781"/>
      <c r="L8" s="781"/>
      <c r="M8" s="782" t="s">
        <v>36</v>
      </c>
      <c r="N8" s="782"/>
      <c r="O8" s="782"/>
      <c r="P8" s="782"/>
      <c r="Q8" s="782"/>
    </row>
    <row r="9" spans="2:24">
      <c r="B9" s="374"/>
      <c r="C9" s="369"/>
      <c r="D9" s="369" t="s">
        <v>57</v>
      </c>
      <c r="E9" s="375" t="s">
        <v>58</v>
      </c>
      <c r="F9" s="375"/>
      <c r="G9" s="383"/>
      <c r="H9" s="385">
        <v>20</v>
      </c>
      <c r="I9" s="385">
        <f>H9+1</f>
        <v>21</v>
      </c>
      <c r="J9" s="385">
        <f t="shared" ref="J9:K9" si="0">I9+1</f>
        <v>22</v>
      </c>
      <c r="K9" s="385">
        <f t="shared" si="0"/>
        <v>23</v>
      </c>
      <c r="L9" s="385">
        <f>K9+1</f>
        <v>24</v>
      </c>
      <c r="M9" s="377">
        <f t="shared" ref="M9:Q9" si="1">L9+1</f>
        <v>25</v>
      </c>
      <c r="N9" s="377">
        <f t="shared" si="1"/>
        <v>26</v>
      </c>
      <c r="O9" s="377">
        <f t="shared" si="1"/>
        <v>27</v>
      </c>
      <c r="P9" s="377">
        <f t="shared" si="1"/>
        <v>28</v>
      </c>
      <c r="Q9" s="377">
        <f t="shared" si="1"/>
        <v>29</v>
      </c>
      <c r="S9" s="691" t="s">
        <v>116</v>
      </c>
    </row>
    <row r="11" spans="2:24">
      <c r="B11" s="386">
        <v>1</v>
      </c>
      <c r="C11" s="59"/>
      <c r="D11" s="375" t="s">
        <v>23</v>
      </c>
      <c r="E11" s="374"/>
      <c r="F11" s="374"/>
      <c r="G11" s="374"/>
      <c r="H11" s="374"/>
      <c r="I11" s="374"/>
      <c r="J11" s="374"/>
      <c r="K11" s="374"/>
      <c r="L11" s="374"/>
      <c r="M11" s="374"/>
      <c r="N11" s="374"/>
      <c r="O11" s="374"/>
      <c r="P11" s="374"/>
      <c r="Q11" s="374"/>
      <c r="R11" s="691" t="s">
        <v>116</v>
      </c>
      <c r="S11" s="159"/>
      <c r="T11" s="159"/>
      <c r="U11" s="159"/>
      <c r="V11" s="159"/>
      <c r="W11" s="159"/>
      <c r="X11" s="159"/>
    </row>
    <row r="13" spans="2:24">
      <c r="D13" s="57" t="s">
        <v>59</v>
      </c>
      <c r="E13" s="57" t="s">
        <v>60</v>
      </c>
      <c r="F13" s="615">
        <v>0.21</v>
      </c>
      <c r="G13" s="57" t="s">
        <v>61</v>
      </c>
    </row>
    <row r="14" spans="2:24">
      <c r="D14" s="57" t="s">
        <v>62</v>
      </c>
      <c r="E14" s="57" t="s">
        <v>60</v>
      </c>
      <c r="F14" s="346">
        <v>0.09</v>
      </c>
      <c r="G14" s="57" t="s">
        <v>528</v>
      </c>
    </row>
    <row r="15" spans="2:24">
      <c r="D15" s="57" t="s">
        <v>63</v>
      </c>
      <c r="E15" s="57" t="s">
        <v>64</v>
      </c>
      <c r="F15" s="688">
        <f>Comps!I23</f>
        <v>2.1920845805871201</v>
      </c>
      <c r="G15" s="57" t="s">
        <v>526</v>
      </c>
    </row>
    <row r="16" spans="2:24">
      <c r="F16" s="461"/>
    </row>
    <row r="17" spans="4:24">
      <c r="D17" s="57" t="s">
        <v>65</v>
      </c>
      <c r="E17" s="57" t="s">
        <v>60</v>
      </c>
      <c r="F17" s="615">
        <v>4.1000000000000002E-2</v>
      </c>
    </row>
    <row r="19" spans="4:24">
      <c r="D19" s="57" t="s">
        <v>66</v>
      </c>
      <c r="E19" s="57" t="s">
        <v>72</v>
      </c>
      <c r="F19" s="462">
        <v>1000000</v>
      </c>
    </row>
    <row r="21" spans="4:24" ht="34">
      <c r="D21" s="770" t="s">
        <v>529</v>
      </c>
      <c r="F21" s="465">
        <f ca="1">AVERAGE('3FS'!J33:N33)</f>
        <v>-15.306086292421934</v>
      </c>
    </row>
    <row r="22" spans="4:24">
      <c r="D22" s="57" t="s">
        <v>67</v>
      </c>
      <c r="F22" s="636">
        <f ca="1">-F21/(AVERAGE(M42:Q42))</f>
        <v>3.4754711200915306E-2</v>
      </c>
    </row>
    <row r="23" spans="4:24">
      <c r="D23" s="57" t="s">
        <v>68</v>
      </c>
      <c r="F23" s="604" t="str">
        <f>'Synthetic Rating'!C19</f>
        <v>D2/D</v>
      </c>
      <c r="G23" s="57" t="s">
        <v>522</v>
      </c>
    </row>
    <row r="24" spans="4:24">
      <c r="D24" s="57" t="s">
        <v>69</v>
      </c>
      <c r="E24" s="57" t="s">
        <v>60</v>
      </c>
      <c r="F24" s="614">
        <f>'Synthetic Rating'!D19</f>
        <v>0.19</v>
      </c>
    </row>
    <row r="25" spans="4:24">
      <c r="S25" s="465"/>
      <c r="T25" s="636"/>
      <c r="U25" s="604"/>
      <c r="V25" s="614"/>
    </row>
    <row r="26" spans="4:24">
      <c r="D26" s="57" t="s">
        <v>70</v>
      </c>
      <c r="F26" s="632">
        <f>$F$19*'3FS'!I48</f>
        <v>74292000</v>
      </c>
    </row>
    <row r="27" spans="4:24">
      <c r="D27" s="57" t="s">
        <v>71</v>
      </c>
      <c r="E27" s="57" t="s">
        <v>72</v>
      </c>
      <c r="F27" s="632">
        <f>$F$19*('3FS'!I80+'3FS'!I73+'3FS'!I81+'3FS'!I74+'3FS'!I94)</f>
        <v>809187000</v>
      </c>
    </row>
    <row r="28" spans="4:24">
      <c r="D28" s="57" t="s">
        <v>73</v>
      </c>
      <c r="E28" s="57" t="s">
        <v>64</v>
      </c>
      <c r="F28" s="633">
        <v>279200000</v>
      </c>
      <c r="G28" s="635"/>
    </row>
    <row r="29" spans="4:24">
      <c r="D29" s="57" t="s">
        <v>74</v>
      </c>
      <c r="E29" s="57" t="s">
        <v>72</v>
      </c>
      <c r="F29" s="634">
        <v>15.29</v>
      </c>
    </row>
    <row r="30" spans="4:24">
      <c r="D30" s="57" t="s">
        <v>75</v>
      </c>
      <c r="E30" s="57" t="s">
        <v>72</v>
      </c>
      <c r="F30" s="632">
        <f>F28*F29</f>
        <v>4268968000</v>
      </c>
      <c r="G30" s="57" t="s">
        <v>521</v>
      </c>
      <c r="S30" s="632"/>
      <c r="T30" s="632"/>
      <c r="U30" s="633"/>
      <c r="V30" s="634"/>
      <c r="W30" s="462"/>
      <c r="X30" s="632"/>
    </row>
    <row r="31" spans="4:24">
      <c r="D31" s="57" t="s">
        <v>76</v>
      </c>
      <c r="F31" s="612">
        <f>F30+F27</f>
        <v>5078155000</v>
      </c>
    </row>
    <row r="33" spans="2:17">
      <c r="D33" s="57" t="s">
        <v>77</v>
      </c>
      <c r="E33" s="57" t="s">
        <v>60</v>
      </c>
      <c r="F33" s="616">
        <f>F17+F24*(1-F13)</f>
        <v>0.19110000000000002</v>
      </c>
    </row>
    <row r="34" spans="2:17">
      <c r="D34" s="57" t="s">
        <v>78</v>
      </c>
      <c r="E34" s="57" t="s">
        <v>60</v>
      </c>
      <c r="F34" s="616">
        <f>F15*F14+F17</f>
        <v>0.23828761225284081</v>
      </c>
    </row>
    <row r="35" spans="2:17">
      <c r="D35" s="57" t="s">
        <v>79</v>
      </c>
      <c r="E35" s="57" t="s">
        <v>60</v>
      </c>
      <c r="F35" s="616">
        <f>F27/F31*F33+F30/F31*F34</f>
        <v>0.23076842420205473</v>
      </c>
    </row>
    <row r="36" spans="2:17">
      <c r="D36" s="57" t="s">
        <v>80</v>
      </c>
      <c r="F36" s="617">
        <f ca="1">TODAY()</f>
        <v>45990</v>
      </c>
    </row>
    <row r="38" spans="2:17">
      <c r="B38" s="386">
        <v>2</v>
      </c>
      <c r="D38" s="375" t="s">
        <v>81</v>
      </c>
      <c r="E38" s="374"/>
      <c r="F38" s="374"/>
      <c r="G38" s="374"/>
      <c r="H38" s="374"/>
      <c r="I38" s="374"/>
      <c r="J38" s="374"/>
      <c r="K38" s="374"/>
      <c r="L38" s="374"/>
      <c r="M38" s="374"/>
      <c r="N38" s="374"/>
      <c r="O38" s="374"/>
      <c r="P38" s="374"/>
      <c r="Q38" s="374"/>
    </row>
    <row r="40" spans="2:17">
      <c r="D40" s="57" t="s">
        <v>82</v>
      </c>
      <c r="H40" s="463">
        <f>'3FS'!E107</f>
        <v>1.5580000000000001</v>
      </c>
      <c r="I40" s="463">
        <f>'3FS'!F107</f>
        <v>3.5369999999999999</v>
      </c>
      <c r="J40" s="463">
        <f>'3FS'!G107</f>
        <v>7.6790000000000003</v>
      </c>
      <c r="K40" s="463">
        <f>'3FS'!H107</f>
        <v>10.731</v>
      </c>
      <c r="L40" s="463">
        <f>'3FS'!I107</f>
        <v>9.0820000000000007</v>
      </c>
      <c r="M40" s="463">
        <f ca="1">'3FS'!J107</f>
        <v>17.064060386483781</v>
      </c>
      <c r="N40" s="463">
        <f ca="1">'3FS'!K107</f>
        <v>33.537227307165686</v>
      </c>
      <c r="O40" s="463">
        <f ca="1">'3FS'!L107</f>
        <v>66.134867630018221</v>
      </c>
      <c r="P40" s="463">
        <f ca="1">'3FS'!M107</f>
        <v>122.43187319620142</v>
      </c>
      <c r="Q40" s="463">
        <f ca="1">'3FS'!N107</f>
        <v>227.4752340028775</v>
      </c>
    </row>
    <row r="41" spans="2:17">
      <c r="H41" s="463"/>
      <c r="I41" s="463"/>
      <c r="J41" s="463"/>
      <c r="K41" s="463"/>
      <c r="L41" s="463"/>
      <c r="M41" s="463"/>
      <c r="N41" s="463"/>
      <c r="O41" s="463"/>
      <c r="P41" s="463"/>
      <c r="Q41" s="463"/>
    </row>
    <row r="42" spans="2:17">
      <c r="D42" s="57" t="s">
        <v>83</v>
      </c>
      <c r="H42" s="463">
        <f>'3FS'!E26</f>
        <v>-37.416999999999994</v>
      </c>
      <c r="I42" s="463">
        <f>'3FS'!F26</f>
        <v>-104.306</v>
      </c>
      <c r="J42" s="463">
        <f>'3FS'!G26</f>
        <v>-214.41199999999998</v>
      </c>
      <c r="K42" s="463">
        <f>'3FS'!H26</f>
        <v>-145.77800000000002</v>
      </c>
      <c r="L42" s="463">
        <f>'3FS'!I26</f>
        <v>-166.066</v>
      </c>
      <c r="M42" s="463">
        <f>'3FS'!J26</f>
        <v>-17.494326000000001</v>
      </c>
      <c r="N42" s="463">
        <f>'3FS'!K26</f>
        <v>30.789523918872021</v>
      </c>
      <c r="O42" s="463">
        <f>'3FS'!L26</f>
        <v>295.41917338207344</v>
      </c>
      <c r="P42" s="463">
        <f>'3FS'!M26</f>
        <v>723.19392908242389</v>
      </c>
      <c r="Q42" s="463">
        <f>'3FS'!N26</f>
        <v>1170.1077376637013</v>
      </c>
    </row>
    <row r="43" spans="2:17">
      <c r="H43" s="464"/>
      <c r="I43" s="464"/>
      <c r="J43" s="464"/>
      <c r="K43" s="464"/>
      <c r="L43" s="464"/>
      <c r="M43" s="464"/>
      <c r="N43" s="464"/>
      <c r="O43" s="464"/>
      <c r="P43" s="464"/>
      <c r="Q43" s="464"/>
    </row>
    <row r="44" spans="2:17">
      <c r="D44" s="57" t="s">
        <v>84</v>
      </c>
      <c r="H44" s="463">
        <f>-PPE!H29</f>
        <v>-3.605</v>
      </c>
      <c r="I44" s="463">
        <f>-PPE!I29</f>
        <v>-15.589</v>
      </c>
      <c r="J44" s="463">
        <f>-PPE!J29</f>
        <v>-20.071999999999999</v>
      </c>
      <c r="K44" s="463">
        <f>-PPE!K29</f>
        <v>-29.323</v>
      </c>
      <c r="L44" s="463">
        <f>-PPE!L29</f>
        <v>-33.152000000000001</v>
      </c>
      <c r="M44" s="463">
        <f ca="1">-PPE!M29</f>
        <v>-46.628407670567881</v>
      </c>
      <c r="N44" s="463">
        <f ca="1">-PPE!N29</f>
        <v>-91.6421690735271</v>
      </c>
      <c r="O44" s="463">
        <f ca="1">-PPE!O29</f>
        <v>-180.71686921209806</v>
      </c>
      <c r="P44" s="463">
        <f ca="1">-PPE!P29</f>
        <v>-334.55128298688044</v>
      </c>
      <c r="Q44" s="463">
        <f ca="1">-PPE!Q29</f>
        <v>-621.58757680238341</v>
      </c>
    </row>
    <row r="45" spans="2:17">
      <c r="H45" s="463"/>
      <c r="I45" s="463"/>
      <c r="J45" s="463"/>
      <c r="K45" s="463"/>
      <c r="L45" s="463"/>
      <c r="M45" s="463"/>
      <c r="N45" s="463"/>
      <c r="O45" s="463"/>
      <c r="P45" s="463"/>
      <c r="Q45" s="463"/>
    </row>
    <row r="46" spans="2:17">
      <c r="D46" s="57" t="s">
        <v>85</v>
      </c>
      <c r="H46" s="463"/>
      <c r="I46" s="463">
        <f>I48-H48</f>
        <v>-1.1269999999999953</v>
      </c>
      <c r="J46" s="463">
        <f t="shared" ref="J46:Q46" si="2">J48-I48</f>
        <v>-118.084</v>
      </c>
      <c r="K46" s="463">
        <f t="shared" si="2"/>
        <v>66.889999999999986</v>
      </c>
      <c r="L46" s="463">
        <f t="shared" si="2"/>
        <v>53.475999999999992</v>
      </c>
      <c r="M46" s="463">
        <f t="shared" ca="1" si="2"/>
        <v>-703.28892354995276</v>
      </c>
      <c r="N46" s="463">
        <f t="shared" ca="1" si="2"/>
        <v>434.29870559902224</v>
      </c>
      <c r="O46" s="463">
        <f t="shared" ca="1" si="2"/>
        <v>1279.0198583945398</v>
      </c>
      <c r="P46" s="463">
        <f t="shared" ca="1" si="2"/>
        <v>2131.1567714641878</v>
      </c>
      <c r="Q46" s="463">
        <f t="shared" ca="1" si="2"/>
        <v>2936.1048144036376</v>
      </c>
    </row>
    <row r="47" spans="2:17">
      <c r="H47" s="464"/>
      <c r="I47" s="464"/>
      <c r="J47" s="464"/>
      <c r="K47" s="464"/>
      <c r="L47" s="464"/>
      <c r="M47" s="464"/>
      <c r="N47" s="464"/>
      <c r="O47" s="464"/>
      <c r="P47" s="464"/>
      <c r="Q47" s="464"/>
    </row>
    <row r="48" spans="2:17">
      <c r="D48" s="57" t="s">
        <v>86</v>
      </c>
      <c r="H48" s="463">
        <f>'3FS'!E56-'3FS'!E77</f>
        <v>113.782</v>
      </c>
      <c r="I48" s="463">
        <f>'3FS'!F56-'3FS'!F77</f>
        <v>112.655</v>
      </c>
      <c r="J48" s="463">
        <f>'3FS'!G56-'3FS'!G77</f>
        <v>-5.4289999999999949</v>
      </c>
      <c r="K48" s="463">
        <f>'3FS'!H56-'3FS'!H77</f>
        <v>61.460999999999991</v>
      </c>
      <c r="L48" s="463">
        <f>'3FS'!I56-'3FS'!I77</f>
        <v>114.93699999999998</v>
      </c>
      <c r="M48" s="463">
        <f ca="1">'3FS'!J56-'3FS'!J77</f>
        <v>-588.35192354995274</v>
      </c>
      <c r="N48" s="463">
        <f ca="1">'3FS'!K56-'3FS'!K77</f>
        <v>-154.0532179509305</v>
      </c>
      <c r="O48" s="463">
        <f ca="1">'3FS'!L56-'3FS'!L77</f>
        <v>1124.9666404436093</v>
      </c>
      <c r="P48" s="463">
        <f ca="1">'3FS'!M56-'3FS'!M77</f>
        <v>3256.1234119077972</v>
      </c>
      <c r="Q48" s="463">
        <f ca="1">'3FS'!N56-'3FS'!N77</f>
        <v>6192.2282263114348</v>
      </c>
    </row>
    <row r="50" spans="2:17">
      <c r="B50" s="386">
        <v>3</v>
      </c>
      <c r="C50" s="8"/>
      <c r="D50" s="375" t="s">
        <v>87</v>
      </c>
      <c r="E50" s="374"/>
      <c r="F50" s="374"/>
      <c r="G50" s="374"/>
      <c r="H50" s="374"/>
      <c r="I50" s="374"/>
      <c r="J50" s="374"/>
      <c r="K50" s="374"/>
      <c r="L50" s="374"/>
      <c r="M50" s="374"/>
      <c r="N50" s="374"/>
      <c r="O50" s="374"/>
      <c r="P50" s="374"/>
      <c r="Q50" s="374"/>
    </row>
    <row r="51" spans="2:17">
      <c r="B51" s="59"/>
      <c r="C51" s="8"/>
      <c r="D51" s="691"/>
      <c r="E51" s="159"/>
      <c r="F51" s="159"/>
      <c r="G51" s="159"/>
      <c r="H51" s="159"/>
      <c r="I51" s="159"/>
      <c r="J51" s="159"/>
      <c r="K51" s="159"/>
      <c r="L51" s="159"/>
      <c r="M51" s="159"/>
      <c r="N51" s="159"/>
      <c r="O51" s="159"/>
      <c r="P51" s="159"/>
      <c r="Q51" s="159"/>
    </row>
    <row r="52" spans="2:17">
      <c r="D52" s="57" t="s">
        <v>88</v>
      </c>
      <c r="H52" s="465">
        <f t="shared" ref="H52:Q52" si="3">H42*(1-$F$13)</f>
        <v>-29.559429999999995</v>
      </c>
      <c r="I52" s="465">
        <f t="shared" si="3"/>
        <v>-82.401740000000004</v>
      </c>
      <c r="J52" s="465">
        <f t="shared" si="3"/>
        <v>-169.38548</v>
      </c>
      <c r="K52" s="465">
        <f t="shared" si="3"/>
        <v>-115.16462000000003</v>
      </c>
      <c r="L52" s="465">
        <f t="shared" si="3"/>
        <v>-131.19213999999999</v>
      </c>
      <c r="M52" s="465">
        <f t="shared" si="3"/>
        <v>-13.820517540000001</v>
      </c>
      <c r="N52" s="465">
        <f t="shared" si="3"/>
        <v>24.323723895908898</v>
      </c>
      <c r="O52" s="465">
        <f t="shared" si="3"/>
        <v>233.38114697183804</v>
      </c>
      <c r="P52" s="465">
        <f t="shared" si="3"/>
        <v>571.32320397511489</v>
      </c>
      <c r="Q52" s="465">
        <f t="shared" si="3"/>
        <v>924.38511275432404</v>
      </c>
    </row>
    <row r="53" spans="2:17">
      <c r="D53" s="57" t="s">
        <v>89</v>
      </c>
      <c r="H53" s="465">
        <f t="shared" ref="H53:Q53" si="4">H40</f>
        <v>1.5580000000000001</v>
      </c>
      <c r="I53" s="465">
        <f t="shared" si="4"/>
        <v>3.5369999999999999</v>
      </c>
      <c r="J53" s="465">
        <f t="shared" si="4"/>
        <v>7.6790000000000003</v>
      </c>
      <c r="K53" s="465">
        <f t="shared" si="4"/>
        <v>10.731</v>
      </c>
      <c r="L53" s="465">
        <f t="shared" si="4"/>
        <v>9.0820000000000007</v>
      </c>
      <c r="M53" s="465">
        <f t="shared" ca="1" si="4"/>
        <v>17.064060386483781</v>
      </c>
      <c r="N53" s="465">
        <f t="shared" ca="1" si="4"/>
        <v>33.537227307165686</v>
      </c>
      <c r="O53" s="465">
        <f t="shared" ca="1" si="4"/>
        <v>66.134867630018221</v>
      </c>
      <c r="P53" s="465">
        <f t="shared" ca="1" si="4"/>
        <v>122.43187319620142</v>
      </c>
      <c r="Q53" s="465">
        <f t="shared" ca="1" si="4"/>
        <v>227.4752340028775</v>
      </c>
    </row>
    <row r="54" spans="2:17">
      <c r="D54" s="57" t="s">
        <v>90</v>
      </c>
      <c r="H54" s="465">
        <f t="shared" ref="H54:Q54" si="5">H44</f>
        <v>-3.605</v>
      </c>
      <c r="I54" s="465">
        <f t="shared" si="5"/>
        <v>-15.589</v>
      </c>
      <c r="J54" s="465">
        <f t="shared" si="5"/>
        <v>-20.071999999999999</v>
      </c>
      <c r="K54" s="465">
        <f t="shared" si="5"/>
        <v>-29.323</v>
      </c>
      <c r="L54" s="465">
        <f t="shared" si="5"/>
        <v>-33.152000000000001</v>
      </c>
      <c r="M54" s="465">
        <f t="shared" ca="1" si="5"/>
        <v>-46.628407670567881</v>
      </c>
      <c r="N54" s="465">
        <f t="shared" ca="1" si="5"/>
        <v>-91.6421690735271</v>
      </c>
      <c r="O54" s="465">
        <f t="shared" ca="1" si="5"/>
        <v>-180.71686921209806</v>
      </c>
      <c r="P54" s="465">
        <f t="shared" ca="1" si="5"/>
        <v>-334.55128298688044</v>
      </c>
      <c r="Q54" s="465">
        <f t="shared" ca="1" si="5"/>
        <v>-621.58757680238341</v>
      </c>
    </row>
    <row r="55" spans="2:17">
      <c r="D55" s="57" t="s">
        <v>91</v>
      </c>
      <c r="H55" s="465">
        <f t="shared" ref="H55:Q55" si="6">H46</f>
        <v>0</v>
      </c>
      <c r="I55" s="465">
        <f t="shared" si="6"/>
        <v>-1.1269999999999953</v>
      </c>
      <c r="J55" s="465">
        <f t="shared" si="6"/>
        <v>-118.084</v>
      </c>
      <c r="K55" s="465">
        <f t="shared" si="6"/>
        <v>66.889999999999986</v>
      </c>
      <c r="L55" s="465">
        <f t="shared" si="6"/>
        <v>53.475999999999992</v>
      </c>
      <c r="M55" s="465">
        <f t="shared" ca="1" si="6"/>
        <v>-703.28892354995276</v>
      </c>
      <c r="N55" s="465">
        <f t="shared" ca="1" si="6"/>
        <v>434.29870559902224</v>
      </c>
      <c r="O55" s="465">
        <f t="shared" ca="1" si="6"/>
        <v>1279.0198583945398</v>
      </c>
      <c r="P55" s="465">
        <f t="shared" ca="1" si="6"/>
        <v>2131.1567714641878</v>
      </c>
      <c r="Q55" s="465">
        <f t="shared" ca="1" si="6"/>
        <v>2936.1048144036376</v>
      </c>
    </row>
    <row r="56" spans="2:17">
      <c r="D56" s="57" t="s">
        <v>92</v>
      </c>
      <c r="H56" s="465">
        <f>SUM(H52:H55)</f>
        <v>-31.606429999999996</v>
      </c>
      <c r="I56" s="465">
        <f t="shared" ref="I56:Q56" si="7">SUM(I52:I55)</f>
        <v>-95.580739999999992</v>
      </c>
      <c r="J56" s="465">
        <f t="shared" si="7"/>
        <v>-299.86248000000001</v>
      </c>
      <c r="K56" s="465">
        <f t="shared" si="7"/>
        <v>-66.86662000000004</v>
      </c>
      <c r="L56" s="465">
        <f t="shared" si="7"/>
        <v>-101.78613999999999</v>
      </c>
      <c r="M56" s="465">
        <f t="shared" ca="1" si="7"/>
        <v>-746.6737883740368</v>
      </c>
      <c r="N56" s="465">
        <f t="shared" ca="1" si="7"/>
        <v>400.51748772856973</v>
      </c>
      <c r="O56" s="465">
        <f t="shared" ca="1" si="7"/>
        <v>1397.819003784298</v>
      </c>
      <c r="P56" s="465">
        <f t="shared" ca="1" si="7"/>
        <v>2490.3605656486238</v>
      </c>
      <c r="Q56" s="465">
        <f t="shared" ca="1" si="7"/>
        <v>3466.3775843584558</v>
      </c>
    </row>
    <row r="57" spans="2:17">
      <c r="H57" s="465"/>
      <c r="I57" s="465"/>
      <c r="J57" s="465"/>
      <c r="K57" s="465"/>
      <c r="L57" s="465"/>
      <c r="M57" s="465"/>
      <c r="N57" s="465"/>
      <c r="O57" s="465"/>
      <c r="P57" s="465"/>
      <c r="Q57" s="465"/>
    </row>
    <row r="58" spans="2:17">
      <c r="D58" s="57" t="s">
        <v>93</v>
      </c>
      <c r="H58" s="465"/>
      <c r="I58" s="465"/>
      <c r="J58" s="465"/>
      <c r="K58" s="465"/>
      <c r="L58" s="465"/>
      <c r="M58" s="611">
        <f>(1+$F$35)^(M9-$L$9)</f>
        <v>1.2307684242020547</v>
      </c>
      <c r="N58" s="611">
        <f>(1+$F$35)^(N9-$L$9)</f>
        <v>1.5147909140128089</v>
      </c>
      <c r="O58" s="611">
        <f>(1+$F$35)^(O9-$L$9)</f>
        <v>1.8643568262351349</v>
      </c>
      <c r="P58" s="611">
        <f>(1+$F$35)^(P9-$L$9)</f>
        <v>2.294591513175761</v>
      </c>
      <c r="Q58" s="611">
        <f>(1+$F$35)^(Q9-$L$9)</f>
        <v>2.8241107808587396</v>
      </c>
    </row>
    <row r="59" spans="2:17">
      <c r="D59" s="57" t="s">
        <v>94</v>
      </c>
      <c r="H59" s="465"/>
      <c r="I59" s="465"/>
      <c r="J59" s="465"/>
      <c r="K59" s="465"/>
      <c r="L59" s="465"/>
      <c r="M59" s="465">
        <f ca="1">M56/M58</f>
        <v>-606.6728506283614</v>
      </c>
      <c r="N59" s="465">
        <f ca="1">N56/N58</f>
        <v>264.40446930564508</v>
      </c>
      <c r="O59" s="465">
        <f ca="1">O56/O58</f>
        <v>749.75937230162151</v>
      </c>
      <c r="P59" s="465">
        <f ca="1">P56/P58</f>
        <v>1085.3176050502839</v>
      </c>
      <c r="Q59" s="465">
        <f ca="1">Q56/Q58</f>
        <v>1227.4226662257277</v>
      </c>
    </row>
    <row r="61" spans="2:17">
      <c r="B61" s="384">
        <v>4</v>
      </c>
      <c r="C61" s="8"/>
      <c r="D61" s="375" t="s">
        <v>95</v>
      </c>
      <c r="E61" s="374"/>
      <c r="F61" s="374"/>
      <c r="G61" s="374"/>
      <c r="H61" s="374"/>
      <c r="I61" s="374"/>
      <c r="J61" s="374"/>
      <c r="K61" s="374"/>
      <c r="L61" s="374"/>
      <c r="M61" s="374"/>
      <c r="N61" s="374"/>
      <c r="O61" s="374"/>
      <c r="P61" s="374"/>
      <c r="Q61" s="374"/>
    </row>
    <row r="63" spans="2:17">
      <c r="D63" s="771" t="s">
        <v>87</v>
      </c>
      <c r="E63" s="336"/>
      <c r="F63" s="336"/>
      <c r="G63" s="606"/>
    </row>
    <row r="64" spans="2:17">
      <c r="D64" s="607"/>
      <c r="G64" s="608"/>
    </row>
    <row r="65" spans="4:16">
      <c r="D65" s="607" t="s">
        <v>96</v>
      </c>
      <c r="E65" s="615">
        <v>2.5000000000000001E-2</v>
      </c>
      <c r="G65" s="608"/>
    </row>
    <row r="66" spans="4:16">
      <c r="D66" s="607" t="s">
        <v>98</v>
      </c>
      <c r="E66" s="610">
        <f ca="1">Q59*(1+E65)*$F$19</f>
        <v>1258108232.8813708</v>
      </c>
      <c r="G66" s="608"/>
    </row>
    <row r="67" spans="4:16">
      <c r="D67" s="607" t="s">
        <v>100</v>
      </c>
      <c r="E67" s="610">
        <f ca="1">E66/(F35-E65)</f>
        <v>6114194817.5973234</v>
      </c>
      <c r="G67" s="608"/>
    </row>
    <row r="68" spans="4:16">
      <c r="D68" s="607" t="s">
        <v>101</v>
      </c>
      <c r="E68" s="610">
        <f ca="1">E67/Q58</f>
        <v>2164998221.4005618</v>
      </c>
      <c r="G68" s="608"/>
    </row>
    <row r="69" spans="4:16">
      <c r="D69" s="607" t="s">
        <v>102</v>
      </c>
      <c r="E69" s="610">
        <f ca="1">SUM(M59:Q59)*$F$19</f>
        <v>2720231262.2549171</v>
      </c>
      <c r="G69" s="608"/>
    </row>
    <row r="70" spans="4:16">
      <c r="D70" s="607" t="s">
        <v>103</v>
      </c>
      <c r="E70" s="610">
        <f ca="1">E68+E69</f>
        <v>4885229483.6554794</v>
      </c>
      <c r="G70" s="608"/>
    </row>
    <row r="71" spans="4:16">
      <c r="D71" s="607" t="s">
        <v>104</v>
      </c>
      <c r="E71" s="610">
        <f>F27</f>
        <v>809187000</v>
      </c>
      <c r="G71" s="608"/>
    </row>
    <row r="72" spans="4:16">
      <c r="D72" s="607" t="s">
        <v>105</v>
      </c>
      <c r="E72" s="465">
        <f>F26</f>
        <v>74292000</v>
      </c>
      <c r="G72" s="608"/>
      <c r="H72" s="783"/>
      <c r="I72" s="783"/>
      <c r="J72" s="783"/>
    </row>
    <row r="73" spans="4:16">
      <c r="D73" s="607" t="s">
        <v>106</v>
      </c>
      <c r="E73" s="465">
        <f ca="1">E70-E71+E72</f>
        <v>4150334483.6554794</v>
      </c>
      <c r="G73" s="608"/>
      <c r="H73" s="783"/>
      <c r="I73" s="783"/>
      <c r="J73" s="783"/>
    </row>
    <row r="74" spans="4:16">
      <c r="D74" s="607" t="s">
        <v>107</v>
      </c>
      <c r="E74" s="465">
        <f>F28</f>
        <v>279200000</v>
      </c>
      <c r="G74" s="608"/>
      <c r="H74" s="783"/>
      <c r="I74" s="783"/>
      <c r="J74" s="783"/>
    </row>
    <row r="75" spans="4:16" ht="16" customHeight="1">
      <c r="D75" s="607"/>
      <c r="E75" s="57" t="s">
        <v>12</v>
      </c>
      <c r="F75" s="57" t="s">
        <v>108</v>
      </c>
      <c r="G75" s="608" t="s">
        <v>109</v>
      </c>
      <c r="H75" s="783"/>
      <c r="I75" s="783"/>
      <c r="J75" s="783"/>
    </row>
    <row r="76" spans="4:16">
      <c r="D76" s="609" t="s">
        <v>110</v>
      </c>
      <c r="E76" s="618">
        <f ca="1">E73/E74</f>
        <v>14.865094855499569</v>
      </c>
      <c r="F76" s="618">
        <v>5.64</v>
      </c>
      <c r="G76" s="758">
        <v>28.03</v>
      </c>
    </row>
    <row r="77" spans="4:16">
      <c r="E77" s="760"/>
      <c r="F77" s="760"/>
      <c r="G77" s="760"/>
      <c r="N77" s="760"/>
      <c r="O77" s="760"/>
      <c r="P77" s="760"/>
    </row>
    <row r="78" spans="4:16">
      <c r="D78" s="771" t="s">
        <v>530</v>
      </c>
      <c r="E78" s="336"/>
      <c r="F78" s="336"/>
      <c r="G78" s="606"/>
      <c r="N78" s="760"/>
      <c r="O78" s="760"/>
      <c r="P78" s="760"/>
    </row>
    <row r="79" spans="4:16">
      <c r="D79" s="607"/>
      <c r="G79" s="608"/>
      <c r="N79" s="760"/>
      <c r="O79" s="760"/>
      <c r="P79" s="760"/>
    </row>
    <row r="80" spans="4:16">
      <c r="D80" s="607"/>
      <c r="G80" s="608"/>
      <c r="N80" s="760"/>
      <c r="O80" s="760"/>
      <c r="P80" s="760"/>
    </row>
    <row r="81" spans="4:20">
      <c r="D81" s="607" t="s">
        <v>97</v>
      </c>
      <c r="E81" s="604">
        <f>Comps!H20</f>
        <v>3.4</v>
      </c>
      <c r="G81" s="608"/>
      <c r="N81" s="760"/>
      <c r="O81" s="760"/>
      <c r="P81" s="760"/>
    </row>
    <row r="82" spans="4:20">
      <c r="D82" s="607" t="s">
        <v>99</v>
      </c>
      <c r="E82" s="772">
        <f>F19*'3FS'!N13</f>
        <v>2543712473.1819592</v>
      </c>
      <c r="G82" s="608"/>
      <c r="N82" s="760"/>
      <c r="O82" s="760"/>
      <c r="P82" s="760"/>
    </row>
    <row r="83" spans="4:20">
      <c r="D83" s="607" t="s">
        <v>100</v>
      </c>
      <c r="E83" s="767">
        <f>E81*E82</f>
        <v>8648622408.8186607</v>
      </c>
      <c r="G83" s="608"/>
      <c r="N83" s="760"/>
      <c r="O83" s="760"/>
      <c r="P83" s="760"/>
    </row>
    <row r="84" spans="4:20">
      <c r="D84" s="607" t="s">
        <v>101</v>
      </c>
      <c r="E84" s="766">
        <f>E83/Q58</f>
        <v>3062423212.0911479</v>
      </c>
      <c r="G84" s="608"/>
      <c r="N84" s="760"/>
      <c r="O84" s="760"/>
      <c r="P84" s="760"/>
    </row>
    <row r="85" spans="4:20">
      <c r="D85" s="607" t="s">
        <v>102</v>
      </c>
      <c r="E85" s="768">
        <f ca="1">SUM(M59:Q59)*F19</f>
        <v>2720231262.2549171</v>
      </c>
      <c r="G85" s="608"/>
      <c r="N85" s="760"/>
      <c r="O85" s="760"/>
      <c r="P85" s="760"/>
    </row>
    <row r="86" spans="4:20">
      <c r="D86" s="607" t="s">
        <v>103</v>
      </c>
      <c r="E86" s="769">
        <f ca="1">E84+E85</f>
        <v>5782654474.3460655</v>
      </c>
      <c r="G86" s="608"/>
      <c r="N86" s="760"/>
      <c r="O86" s="760"/>
      <c r="P86" s="760"/>
    </row>
    <row r="87" spans="4:20">
      <c r="D87" s="607" t="s">
        <v>104</v>
      </c>
      <c r="E87" s="465">
        <f>F27</f>
        <v>809187000</v>
      </c>
      <c r="G87" s="608"/>
      <c r="N87" s="760"/>
      <c r="O87" s="760"/>
      <c r="P87" s="760"/>
    </row>
    <row r="88" spans="4:20">
      <c r="D88" s="607" t="s">
        <v>105</v>
      </c>
      <c r="E88" s="465">
        <f>F26</f>
        <v>74292000</v>
      </c>
      <c r="G88" s="608"/>
      <c r="N88" s="760"/>
      <c r="O88" s="760"/>
      <c r="P88" s="760"/>
    </row>
    <row r="89" spans="4:20">
      <c r="D89" s="607" t="s">
        <v>106</v>
      </c>
      <c r="E89" s="465">
        <f ca="1">E86-E87+E88</f>
        <v>5047759474.3460655</v>
      </c>
      <c r="G89" s="608"/>
      <c r="N89" s="760"/>
      <c r="O89" s="760"/>
      <c r="P89" s="760"/>
    </row>
    <row r="90" spans="4:20">
      <c r="D90" s="607" t="s">
        <v>107</v>
      </c>
      <c r="E90" s="465">
        <f>F28</f>
        <v>279200000</v>
      </c>
      <c r="G90" s="608"/>
      <c r="N90" s="760"/>
      <c r="O90" s="760"/>
      <c r="P90" s="760"/>
    </row>
    <row r="91" spans="4:20">
      <c r="D91" s="607"/>
      <c r="E91" s="57" t="s">
        <v>12</v>
      </c>
      <c r="F91" s="57" t="s">
        <v>108</v>
      </c>
      <c r="G91" s="608" t="s">
        <v>109</v>
      </c>
      <c r="N91" s="760"/>
      <c r="O91" s="760"/>
      <c r="P91" s="760"/>
    </row>
    <row r="92" spans="4:20">
      <c r="D92" s="609" t="s">
        <v>110</v>
      </c>
      <c r="E92" s="618">
        <f ca="1">E89/E90</f>
        <v>18.079367744792499</v>
      </c>
      <c r="F92" s="618">
        <v>9.59</v>
      </c>
      <c r="G92" s="758">
        <v>29.39</v>
      </c>
      <c r="N92" s="760"/>
      <c r="O92" s="760"/>
      <c r="P92" s="760"/>
    </row>
    <row r="93" spans="4:20">
      <c r="E93" s="760"/>
      <c r="F93" s="760"/>
      <c r="G93" s="760"/>
      <c r="N93" s="760"/>
      <c r="O93" s="760"/>
      <c r="P93" s="760"/>
      <c r="T93" s="760"/>
    </row>
    <row r="94" spans="4:20">
      <c r="D94" s="605" t="s">
        <v>111</v>
      </c>
      <c r="E94" s="336" t="s">
        <v>12</v>
      </c>
      <c r="F94" s="336" t="s">
        <v>113</v>
      </c>
      <c r="G94" s="606" t="s">
        <v>112</v>
      </c>
      <c r="H94" s="637"/>
      <c r="I94" s="637"/>
      <c r="J94" s="637"/>
      <c r="T94" s="760"/>
    </row>
    <row r="95" spans="4:20">
      <c r="D95" s="609"/>
      <c r="E95" s="618">
        <f ca="1">AVERAGE(E76,E92)</f>
        <v>16.472231300146035</v>
      </c>
      <c r="F95" s="618">
        <f>AVERAGE(F76,F92)</f>
        <v>7.6150000000000002</v>
      </c>
      <c r="G95" s="758">
        <f>AVERAGE(G76,G92)</f>
        <v>28.71</v>
      </c>
      <c r="H95" s="637"/>
      <c r="I95" s="637"/>
      <c r="J95" s="637"/>
      <c r="T95" s="760"/>
    </row>
    <row r="96" spans="4:20">
      <c r="T96" s="760"/>
    </row>
    <row r="97" spans="2:17">
      <c r="B97" s="386">
        <v>5</v>
      </c>
      <c r="C97" s="59"/>
      <c r="D97" s="375" t="s">
        <v>114</v>
      </c>
      <c r="E97" s="374"/>
      <c r="F97" s="374"/>
      <c r="G97" s="374"/>
      <c r="H97" s="374"/>
      <c r="I97" s="374"/>
      <c r="J97" s="374"/>
      <c r="K97" s="374"/>
      <c r="L97" s="374"/>
      <c r="M97" s="374"/>
      <c r="N97" s="374"/>
      <c r="O97" s="374"/>
      <c r="P97" s="374"/>
      <c r="Q97" s="374"/>
    </row>
    <row r="98" spans="2:17">
      <c r="D98" s="760"/>
    </row>
    <row r="99" spans="2:17">
      <c r="D99" s="559"/>
      <c r="E99" s="673"/>
      <c r="F99" s="784" t="s">
        <v>532</v>
      </c>
      <c r="G99" s="784"/>
      <c r="H99" s="784"/>
      <c r="I99" s="784"/>
      <c r="J99" s="784"/>
    </row>
    <row r="100" spans="2:17">
      <c r="D100" s="559"/>
      <c r="E100" s="673"/>
      <c r="F100" s="673"/>
      <c r="G100" s="673"/>
      <c r="H100" s="673"/>
      <c r="I100" s="673"/>
      <c r="J100" s="673"/>
    </row>
    <row r="101" spans="2:17">
      <c r="D101" s="559"/>
      <c r="E101" s="761" t="s">
        <v>79</v>
      </c>
      <c r="F101" s="674" t="s">
        <v>115</v>
      </c>
      <c r="G101" s="675"/>
      <c r="H101" s="675"/>
      <c r="I101" s="675"/>
      <c r="J101" s="675"/>
    </row>
    <row r="102" spans="2:17">
      <c r="D102" s="559"/>
      <c r="E102" s="762">
        <f ca="1">E76</f>
        <v>14.865094855499569</v>
      </c>
      <c r="F102" s="676">
        <f>G102-0.005</f>
        <v>1.4999999999999999E-2</v>
      </c>
      <c r="G102" s="676">
        <f>H102-0.005</f>
        <v>0.02</v>
      </c>
      <c r="H102" s="676">
        <f>0.025</f>
        <v>2.5000000000000001E-2</v>
      </c>
      <c r="I102" s="676">
        <f>H102+0.005</f>
        <v>3.0000000000000002E-2</v>
      </c>
      <c r="J102" s="676">
        <f>I102+0.005</f>
        <v>3.5000000000000003E-2</v>
      </c>
    </row>
    <row r="103" spans="2:17">
      <c r="D103" s="559"/>
      <c r="E103" s="676">
        <f>E104+0.01</f>
        <v>0.25079999999999997</v>
      </c>
      <c r="F103" s="677">
        <f t="dataTable" ref="F103:J107" dt2D="1" dtr="1" r1="E65" r2="F35" ca="1"/>
        <v>12.106213971655365</v>
      </c>
      <c r="G103" s="678">
        <v>12.258429864568074</v>
      </c>
      <c r="H103" s="678">
        <v>12.417386939629258</v>
      </c>
      <c r="I103" s="678">
        <v>12.58354315758271</v>
      </c>
      <c r="J103" s="679">
        <v>12.757398922243921</v>
      </c>
    </row>
    <row r="104" spans="2:17">
      <c r="D104" s="559"/>
      <c r="E104" s="676">
        <f>E105+0.01</f>
        <v>0.24079999999999999</v>
      </c>
      <c r="F104" s="680">
        <v>13.201314783598981</v>
      </c>
      <c r="G104" s="681">
        <v>13.379918868742864</v>
      </c>
      <c r="H104" s="681">
        <v>13.566799324838733</v>
      </c>
      <c r="I104" s="681">
        <v>13.762545077713343</v>
      </c>
      <c r="J104" s="682">
        <v>13.967802286024039</v>
      </c>
    </row>
    <row r="105" spans="2:17">
      <c r="D105" s="559"/>
      <c r="E105" s="676">
        <f>23.08%</f>
        <v>0.23079999999999998</v>
      </c>
      <c r="F105" s="680">
        <v>14.429457199773347</v>
      </c>
      <c r="G105" s="681">
        <v>14.63999060889253</v>
      </c>
      <c r="H105" s="683">
        <v>14.860754018454818</v>
      </c>
      <c r="I105" s="681">
        <v>15.092511621720412</v>
      </c>
      <c r="J105" s="682">
        <v>15.336105670505185</v>
      </c>
    </row>
    <row r="106" spans="2:17">
      <c r="D106" s="559"/>
      <c r="E106" s="676">
        <f>E105-0.01</f>
        <v>0.22079999999999997</v>
      </c>
      <c r="F106" s="680">
        <v>15.813787859614612</v>
      </c>
      <c r="G106" s="681">
        <v>16.063201782751044</v>
      </c>
      <c r="H106" s="681">
        <v>16.325353904209035</v>
      </c>
      <c r="I106" s="681">
        <v>16.601245654674265</v>
      </c>
      <c r="J106" s="682">
        <v>16.891986261461629</v>
      </c>
    </row>
    <row r="107" spans="2:17">
      <c r="D107" s="559"/>
      <c r="E107" s="676">
        <f>E106-0.01</f>
        <v>0.21079999999999996</v>
      </c>
      <c r="F107" s="684">
        <v>17.382671684906619</v>
      </c>
      <c r="G107" s="685">
        <v>17.679761449482591</v>
      </c>
      <c r="H107" s="685">
        <v>17.992840975338222</v>
      </c>
      <c r="I107" s="685">
        <v>18.32323684665046</v>
      </c>
      <c r="J107" s="686">
        <v>18.672426567297869</v>
      </c>
    </row>
    <row r="108" spans="2:17">
      <c r="D108" s="559"/>
      <c r="F108" s="708"/>
      <c r="G108" s="708"/>
      <c r="H108" s="708"/>
      <c r="I108" s="708"/>
      <c r="J108"/>
    </row>
    <row r="109" spans="2:17">
      <c r="D109" s="559"/>
      <c r="E109" s="673"/>
      <c r="F109" s="784" t="s">
        <v>531</v>
      </c>
      <c r="G109" s="784"/>
      <c r="H109" s="784"/>
      <c r="I109" s="784"/>
      <c r="J109" s="784"/>
    </row>
    <row r="110" spans="2:17">
      <c r="D110" s="559"/>
      <c r="E110" s="673"/>
      <c r="F110" s="673"/>
      <c r="G110" s="673"/>
      <c r="H110" s="673"/>
      <c r="I110" s="673"/>
      <c r="J110" s="673"/>
    </row>
    <row r="111" spans="2:17">
      <c r="C111" s="147"/>
      <c r="D111" s="559"/>
      <c r="E111" s="761" t="s">
        <v>79</v>
      </c>
      <c r="F111" s="674" t="s">
        <v>533</v>
      </c>
      <c r="G111" s="675"/>
      <c r="H111" s="675"/>
      <c r="I111" s="675"/>
      <c r="J111" s="675"/>
    </row>
    <row r="112" spans="2:17">
      <c r="C112" s="147"/>
      <c r="D112" s="559"/>
      <c r="E112" s="762">
        <f ca="1">E92</f>
        <v>18.079367744792499</v>
      </c>
      <c r="F112" s="763">
        <f>G112-0.5</f>
        <v>2.4</v>
      </c>
      <c r="G112" s="763">
        <f>H112-0.5</f>
        <v>2.9</v>
      </c>
      <c r="H112" s="763">
        <v>3.4</v>
      </c>
      <c r="I112" s="763">
        <f>H112+0.5</f>
        <v>3.9</v>
      </c>
      <c r="J112" s="763">
        <f>I112+0.5</f>
        <v>4.4000000000000004</v>
      </c>
    </row>
    <row r="113" spans="3:10">
      <c r="C113" s="147"/>
      <c r="D113" s="559"/>
      <c r="E113" s="676">
        <f>E114+0.01</f>
        <v>0.25079999999999997</v>
      </c>
      <c r="F113" s="677">
        <f t="dataTable" ref="F113:J117" dt2D="1" dtr="1" r1="E81" r2="F35" ca="1"/>
        <v>13.546595418222507</v>
      </c>
      <c r="G113" s="678">
        <v>15.034527977129709</v>
      </c>
      <c r="H113" s="678">
        <v>16.522460536036913</v>
      </c>
      <c r="I113" s="678">
        <v>18.010393094944121</v>
      </c>
      <c r="J113" s="679">
        <v>19.498325653851321</v>
      </c>
    </row>
    <row r="114" spans="3:10">
      <c r="C114" s="147"/>
      <c r="D114" s="559"/>
      <c r="E114" s="676">
        <f>E115+0.01</f>
        <v>0.24079999999999999</v>
      </c>
      <c r="F114" s="680">
        <v>14.184012174045275</v>
      </c>
      <c r="G114" s="681">
        <v>15.732877601595192</v>
      </c>
      <c r="H114" s="681">
        <v>17.281743029145108</v>
      </c>
      <c r="I114" s="681">
        <v>18.830608456695025</v>
      </c>
      <c r="J114" s="682">
        <v>20.379473884244941</v>
      </c>
    </row>
    <row r="115" spans="3:10">
      <c r="C115" s="147"/>
      <c r="D115" s="559"/>
      <c r="E115" s="676">
        <f>23.08%</f>
        <v>0.23079999999999998</v>
      </c>
      <c r="F115" s="680">
        <v>14.851163955369891</v>
      </c>
      <c r="G115" s="681">
        <v>16.463981250892427</v>
      </c>
      <c r="H115" s="683">
        <v>18.076798546414963</v>
      </c>
      <c r="I115" s="681">
        <v>19.689615841937496</v>
      </c>
      <c r="J115" s="682">
        <v>21.302433137460035</v>
      </c>
    </row>
    <row r="116" spans="3:10">
      <c r="C116" s="147"/>
      <c r="D116" s="559"/>
      <c r="E116" s="676">
        <f>E115-0.01</f>
        <v>0.22079999999999997</v>
      </c>
      <c r="F116" s="680">
        <v>15.549707634518754</v>
      </c>
      <c r="G116" s="681">
        <v>17.229671756689164</v>
      </c>
      <c r="H116" s="681">
        <v>18.909635878859586</v>
      </c>
      <c r="I116" s="681">
        <v>20.589600001029996</v>
      </c>
      <c r="J116" s="682">
        <v>22.269564123200414</v>
      </c>
    </row>
    <row r="117" spans="3:10">
      <c r="C117" s="147"/>
      <c r="D117" s="559"/>
      <c r="E117" s="676">
        <f>E116-0.01</f>
        <v>0.21079999999999996</v>
      </c>
      <c r="F117" s="684">
        <v>16.281407747571176</v>
      </c>
      <c r="G117" s="685">
        <v>18.031901433243291</v>
      </c>
      <c r="H117" s="685">
        <v>19.782395118915403</v>
      </c>
      <c r="I117" s="685">
        <v>21.532888804587518</v>
      </c>
      <c r="J117" s="686">
        <v>23.28338249025963</v>
      </c>
    </row>
    <row r="118" spans="3:10">
      <c r="C118" s="147"/>
    </row>
    <row r="119" spans="3:10">
      <c r="C119" s="147"/>
    </row>
    <row r="121" spans="3:10">
      <c r="C121" s="147"/>
    </row>
    <row r="122" spans="3:10">
      <c r="C122" s="147"/>
    </row>
    <row r="123" spans="3:10">
      <c r="C123" s="147"/>
    </row>
    <row r="124" spans="3:10">
      <c r="C124" s="147"/>
    </row>
    <row r="125" spans="3:10">
      <c r="C125" s="147"/>
    </row>
    <row r="126" spans="3:10">
      <c r="C126" s="147"/>
    </row>
    <row r="127" spans="3:10">
      <c r="C127" s="147"/>
    </row>
    <row r="128" spans="3:10">
      <c r="C128" s="147"/>
    </row>
    <row r="132" spans="3:3">
      <c r="C132" s="147"/>
    </row>
    <row r="133" spans="3:3">
      <c r="C133" s="147"/>
    </row>
    <row r="134" spans="3:3">
      <c r="C134" s="147"/>
    </row>
    <row r="135" spans="3:3">
      <c r="C135" s="147"/>
    </row>
    <row r="136" spans="3:3">
      <c r="C136" s="147"/>
    </row>
    <row r="137" spans="3:3">
      <c r="C137" s="147"/>
    </row>
    <row r="138" spans="3:3">
      <c r="C138" s="147"/>
    </row>
    <row r="139" spans="3:3">
      <c r="C139" s="147"/>
    </row>
  </sheetData>
  <mergeCells count="5">
    <mergeCell ref="H8:L8"/>
    <mergeCell ref="M8:Q8"/>
    <mergeCell ref="H72:J75"/>
    <mergeCell ref="F99:J99"/>
    <mergeCell ref="F109:J10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B29A-15D4-3242-8ED1-088646866DA6}">
  <dimension ref="A1:AC24"/>
  <sheetViews>
    <sheetView topLeftCell="L1" zoomScale="132" workbookViewId="0">
      <selection activeCell="L25" sqref="L25"/>
    </sheetView>
  </sheetViews>
  <sheetFormatPr baseColWidth="10" defaultColWidth="10.83203125" defaultRowHeight="13"/>
  <cols>
    <col min="1" max="3" width="2.5" style="639" customWidth="1"/>
    <col min="4" max="4" width="22" style="639" customWidth="1"/>
    <col min="5" max="5" width="10.83203125" style="639"/>
    <col min="6" max="6" width="10.83203125" style="639" customWidth="1"/>
    <col min="7" max="11" width="10.83203125" style="639"/>
    <col min="12" max="12" width="13.33203125" style="639" customWidth="1"/>
    <col min="13" max="16" width="10.83203125" style="639"/>
    <col min="17" max="17" width="14" style="639" customWidth="1"/>
    <col min="18" max="16384" width="10.83203125" style="639"/>
  </cols>
  <sheetData>
    <row r="1" spans="1:29" customFormat="1" ht="16">
      <c r="A1" s="57"/>
      <c r="B1" s="57"/>
      <c r="C1" s="57"/>
      <c r="D1" s="57"/>
      <c r="E1" s="57"/>
      <c r="F1" s="57"/>
      <c r="G1" s="57"/>
      <c r="H1" s="57"/>
      <c r="I1" s="57"/>
      <c r="J1" s="57"/>
      <c r="K1" s="57"/>
      <c r="L1" s="57"/>
      <c r="M1" s="57"/>
      <c r="N1" s="57"/>
      <c r="O1" s="57"/>
      <c r="P1" s="57"/>
      <c r="Q1" s="57"/>
      <c r="R1" s="57"/>
      <c r="S1" s="57"/>
      <c r="T1" s="57"/>
      <c r="U1" s="57"/>
      <c r="V1" s="57"/>
      <c r="W1" s="57"/>
      <c r="X1" s="57"/>
      <c r="Y1" s="57"/>
      <c r="Z1" s="57"/>
      <c r="AA1" s="57"/>
      <c r="AB1" s="57"/>
      <c r="AC1" s="57"/>
    </row>
    <row r="2" spans="1:29" customFormat="1" ht="24">
      <c r="A2" s="57"/>
      <c r="B2" s="374"/>
      <c r="C2" s="369"/>
      <c r="D2" s="370" t="s">
        <v>32</v>
      </c>
      <c r="E2" s="370"/>
      <c r="F2" s="375"/>
      <c r="G2" s="375"/>
      <c r="H2" s="375"/>
      <c r="I2" s="375"/>
      <c r="J2" s="375"/>
      <c r="K2" s="375"/>
      <c r="L2" s="375"/>
      <c r="M2" s="375"/>
      <c r="N2" s="375"/>
      <c r="O2" s="375"/>
      <c r="P2" s="375"/>
      <c r="Q2" s="375"/>
      <c r="R2" s="375"/>
      <c r="S2" s="375"/>
      <c r="T2" s="375"/>
      <c r="U2" s="375"/>
      <c r="V2" s="375"/>
      <c r="W2" s="375"/>
      <c r="X2" s="375"/>
      <c r="Y2" s="375"/>
      <c r="Z2" s="375"/>
      <c r="AA2" s="638"/>
      <c r="AB2" s="638"/>
      <c r="AC2" s="638"/>
    </row>
    <row r="3" spans="1:29" customFormat="1" ht="16">
      <c r="A3" s="57"/>
      <c r="B3" s="374"/>
      <c r="C3" s="369"/>
      <c r="D3" s="369"/>
      <c r="E3" s="369"/>
      <c r="F3" s="375"/>
      <c r="G3" s="375"/>
      <c r="H3" s="375"/>
      <c r="I3" s="375"/>
      <c r="J3" s="375"/>
      <c r="K3" s="375"/>
      <c r="L3" s="375"/>
      <c r="M3" s="375"/>
      <c r="N3" s="375"/>
      <c r="O3" s="375"/>
      <c r="P3" s="375"/>
      <c r="Q3" s="375"/>
      <c r="R3" s="375"/>
      <c r="S3" s="375"/>
      <c r="T3" s="375"/>
      <c r="U3" s="375"/>
      <c r="V3" s="375"/>
      <c r="W3" s="375"/>
      <c r="X3" s="375"/>
      <c r="Y3" s="375"/>
      <c r="Z3" s="375"/>
      <c r="AA3" s="638"/>
      <c r="AB3" s="638"/>
      <c r="AC3" s="638"/>
    </row>
    <row r="4" spans="1:29" customFormat="1" ht="16">
      <c r="A4" s="57"/>
      <c r="B4" s="374"/>
      <c r="C4" s="369"/>
      <c r="D4" s="369" t="s">
        <v>33</v>
      </c>
      <c r="E4" s="369"/>
      <c r="F4" s="375"/>
      <c r="G4" s="375"/>
      <c r="H4" s="375"/>
      <c r="I4" s="375"/>
      <c r="J4" s="375"/>
      <c r="K4" s="375"/>
      <c r="L4" s="375"/>
      <c r="M4" s="375"/>
      <c r="N4" s="375"/>
      <c r="O4" s="375"/>
      <c r="P4" s="375"/>
      <c r="Q4" s="375"/>
      <c r="R4" s="375"/>
      <c r="S4" s="375"/>
      <c r="T4" s="375"/>
      <c r="U4" s="375"/>
      <c r="V4" s="375"/>
      <c r="W4" s="375"/>
      <c r="X4" s="375"/>
      <c r="Y4" s="375"/>
      <c r="Z4" s="375"/>
      <c r="AA4" s="638"/>
      <c r="AB4" s="638"/>
      <c r="AC4" s="638"/>
    </row>
    <row r="5" spans="1:29" customFormat="1" ht="16">
      <c r="A5" s="57"/>
      <c r="B5" s="374"/>
      <c r="C5" s="369"/>
      <c r="D5" s="369" t="s">
        <v>34</v>
      </c>
      <c r="E5" s="369"/>
      <c r="F5" s="375"/>
      <c r="G5" s="383" t="str">
        <f>[1]Cover!C11</f>
        <v>Base Case</v>
      </c>
      <c r="H5" s="383"/>
      <c r="I5" s="375"/>
      <c r="J5" s="375"/>
      <c r="K5" s="375"/>
      <c r="L5" s="375"/>
      <c r="M5" s="375"/>
      <c r="N5" s="375"/>
      <c r="O5" s="375"/>
      <c r="P5" s="375"/>
      <c r="Q5" s="375"/>
      <c r="R5" s="375"/>
      <c r="S5" s="375"/>
      <c r="T5" s="375"/>
      <c r="U5" s="375"/>
      <c r="V5" s="375"/>
      <c r="W5" s="375"/>
      <c r="X5" s="375"/>
      <c r="Y5" s="375"/>
      <c r="Z5" s="375"/>
      <c r="AA5" s="638"/>
      <c r="AB5" s="638"/>
      <c r="AC5" s="638"/>
    </row>
    <row r="6" spans="1:29" customFormat="1" ht="16">
      <c r="A6" s="57"/>
      <c r="B6" s="374"/>
      <c r="C6" s="369"/>
      <c r="D6" s="369"/>
      <c r="E6" s="369"/>
      <c r="F6" s="375"/>
      <c r="G6" s="375"/>
      <c r="H6" s="375"/>
      <c r="I6" s="781"/>
      <c r="J6" s="781"/>
      <c r="K6" s="781"/>
      <c r="L6" s="781"/>
      <c r="M6" s="781"/>
      <c r="N6" s="781"/>
      <c r="O6" s="781"/>
      <c r="P6" s="781"/>
      <c r="Q6" s="781"/>
      <c r="R6" s="781"/>
      <c r="S6" s="781"/>
      <c r="T6" s="781"/>
      <c r="U6" s="781"/>
      <c r="V6" s="780"/>
      <c r="W6" s="780"/>
      <c r="X6" s="780"/>
      <c r="Y6" s="780"/>
      <c r="Z6" s="780"/>
      <c r="AA6" s="638"/>
      <c r="AB6" s="638"/>
      <c r="AC6" s="638"/>
    </row>
    <row r="7" spans="1:29" customFormat="1" ht="16">
      <c r="A7" s="57"/>
      <c r="B7" s="374"/>
      <c r="C7" s="369"/>
      <c r="D7" s="369" t="s">
        <v>37</v>
      </c>
      <c r="E7" s="369"/>
      <c r="F7" s="375"/>
      <c r="G7" s="383"/>
      <c r="H7" s="383"/>
      <c r="I7" s="376"/>
      <c r="J7" s="376"/>
      <c r="K7" s="376"/>
      <c r="L7" s="376"/>
      <c r="M7" s="376"/>
      <c r="N7" s="376"/>
      <c r="O7" s="376"/>
      <c r="P7" s="376"/>
      <c r="Q7" s="376"/>
      <c r="R7" s="376"/>
      <c r="S7" s="376" t="s">
        <v>116</v>
      </c>
      <c r="T7" s="376"/>
      <c r="U7" s="376"/>
      <c r="V7" s="377"/>
      <c r="W7" s="377"/>
      <c r="X7" s="377"/>
      <c r="Y7" s="377"/>
      <c r="Z7" s="377"/>
      <c r="AA7" s="638"/>
      <c r="AB7" s="638"/>
      <c r="AC7" s="638"/>
    </row>
    <row r="8" spans="1:29" customFormat="1" ht="16">
      <c r="A8" s="57"/>
      <c r="B8" s="57"/>
      <c r="C8" s="57"/>
      <c r="D8" s="57"/>
      <c r="E8" s="57"/>
      <c r="F8" s="57"/>
      <c r="G8" s="57"/>
      <c r="H8" s="57"/>
      <c r="I8" s="57"/>
      <c r="J8" s="57"/>
      <c r="K8" s="57"/>
      <c r="L8" s="57"/>
      <c r="M8" s="57"/>
      <c r="N8" s="57"/>
      <c r="O8" s="57"/>
      <c r="P8" s="57"/>
      <c r="Q8" s="57"/>
      <c r="R8" s="57"/>
      <c r="S8" s="57"/>
      <c r="T8" s="57"/>
      <c r="U8" s="57"/>
      <c r="V8" s="57"/>
      <c r="W8" s="57"/>
      <c r="X8" s="57"/>
      <c r="Y8" s="57"/>
      <c r="Z8" s="57"/>
      <c r="AA8" s="57"/>
      <c r="AB8" s="57"/>
      <c r="AC8" s="57"/>
    </row>
    <row r="9" spans="1:29" customFormat="1" ht="16">
      <c r="A9" s="57"/>
      <c r="B9" s="386">
        <v>1</v>
      </c>
      <c r="C9" s="59"/>
      <c r="D9" s="375" t="s">
        <v>117</v>
      </c>
      <c r="E9" s="375"/>
      <c r="F9" s="374"/>
      <c r="G9" s="374"/>
      <c r="H9" s="374"/>
      <c r="I9" s="374"/>
      <c r="J9" s="374"/>
      <c r="K9" s="374"/>
      <c r="L9" s="374"/>
      <c r="M9" s="374"/>
      <c r="N9" s="374"/>
      <c r="O9" s="374"/>
      <c r="P9" s="374"/>
      <c r="Q9" s="374"/>
      <c r="R9" s="374"/>
      <c r="S9" s="374"/>
      <c r="T9" s="374"/>
      <c r="U9" s="374"/>
      <c r="V9" s="374"/>
      <c r="W9" s="374"/>
      <c r="X9" s="374"/>
      <c r="Y9" s="374"/>
      <c r="Z9" s="374"/>
      <c r="AA9" s="374"/>
      <c r="AB9" s="374"/>
      <c r="AC9" s="374"/>
    </row>
    <row r="10" spans="1:29" customFormat="1" ht="16">
      <c r="A10" s="57"/>
      <c r="B10" s="57"/>
      <c r="C10" s="57"/>
      <c r="D10" s="57"/>
      <c r="E10" s="57"/>
      <c r="F10" s="57"/>
      <c r="G10" s="57"/>
      <c r="H10" s="57"/>
      <c r="I10" s="57"/>
      <c r="J10" s="57"/>
      <c r="K10" s="57"/>
      <c r="L10" s="57"/>
      <c r="M10" s="57"/>
      <c r="N10" s="57"/>
      <c r="O10" s="57"/>
      <c r="P10" s="57"/>
      <c r="Q10" s="57"/>
      <c r="R10" s="57"/>
      <c r="S10" s="57"/>
      <c r="T10" s="57"/>
      <c r="U10" s="57"/>
      <c r="V10" s="57"/>
      <c r="W10" s="57"/>
      <c r="X10" s="57"/>
      <c r="Y10" s="57"/>
      <c r="Z10" s="57"/>
      <c r="AA10" s="57"/>
      <c r="AB10" s="57"/>
      <c r="AC10" s="57"/>
    </row>
    <row r="11" spans="1:29" customFormat="1" ht="30">
      <c r="A11" s="57"/>
      <c r="B11" s="57"/>
      <c r="C11" s="57"/>
      <c r="D11" s="640" t="s">
        <v>118</v>
      </c>
      <c r="E11" s="640" t="s">
        <v>119</v>
      </c>
      <c r="F11" s="641" t="s">
        <v>120</v>
      </c>
      <c r="G11" s="641" t="s">
        <v>121</v>
      </c>
      <c r="H11" s="641" t="s">
        <v>122</v>
      </c>
      <c r="I11" s="642" t="s">
        <v>123</v>
      </c>
      <c r="J11" s="642" t="s">
        <v>124</v>
      </c>
      <c r="K11" s="642" t="s">
        <v>125</v>
      </c>
      <c r="L11" s="375" t="s">
        <v>126</v>
      </c>
      <c r="M11" s="642" t="s">
        <v>127</v>
      </c>
      <c r="N11" s="375" t="s">
        <v>128</v>
      </c>
      <c r="O11" s="375" t="s">
        <v>129</v>
      </c>
      <c r="P11" s="642" t="s">
        <v>130</v>
      </c>
      <c r="Q11" s="375" t="s">
        <v>131</v>
      </c>
      <c r="R11" s="639"/>
      <c r="S11" s="643"/>
      <c r="T11" s="639"/>
      <c r="U11" s="639"/>
      <c r="V11" s="639"/>
      <c r="W11" s="639"/>
      <c r="X11" s="639"/>
      <c r="Y11" s="639"/>
      <c r="Z11" s="639"/>
      <c r="AA11" s="639"/>
      <c r="AB11" s="639"/>
      <c r="AC11" s="644"/>
    </row>
    <row r="12" spans="1:29" customFormat="1" ht="16">
      <c r="A12" s="57"/>
      <c r="B12" s="57"/>
      <c r="C12" s="57"/>
      <c r="D12" s="645" t="s">
        <v>132</v>
      </c>
      <c r="E12" s="646" t="s">
        <v>133</v>
      </c>
      <c r="F12" s="647" t="s">
        <v>134</v>
      </c>
      <c r="G12" s="648" t="s">
        <v>135</v>
      </c>
      <c r="H12" s="649">
        <v>0.2</v>
      </c>
      <c r="I12" s="650">
        <v>2.8</v>
      </c>
      <c r="J12" s="650">
        <f>390356/10^3</f>
        <v>390.35599999999999</v>
      </c>
      <c r="K12" s="651">
        <f>J12/(J12+L12+N12)</f>
        <v>0.42839959789112331</v>
      </c>
      <c r="L12" s="650">
        <v>0</v>
      </c>
      <c r="M12" s="651">
        <f>L12/(J12+L12+N12)</f>
        <v>0</v>
      </c>
      <c r="N12" s="650">
        <v>520.84</v>
      </c>
      <c r="O12" s="651">
        <f>N12/(N12+L12+J12)</f>
        <v>0.57160040210887675</v>
      </c>
      <c r="P12" s="764">
        <v>0.21</v>
      </c>
      <c r="Q12" s="653">
        <f>I12/(1+(1-P12)*(J12+L12)/N12)</f>
        <v>1.7587007298558823</v>
      </c>
      <c r="R12" s="654"/>
      <c r="S12" s="655"/>
      <c r="T12" s="656"/>
      <c r="U12" s="655"/>
      <c r="V12" s="657"/>
      <c r="W12" s="657"/>
      <c r="X12" s="657"/>
      <c r="Y12" s="657"/>
      <c r="Z12" s="658"/>
      <c r="AA12" s="658"/>
      <c r="AB12" s="658"/>
      <c r="AC12" s="658"/>
    </row>
    <row r="13" spans="1:29" customFormat="1" ht="16">
      <c r="A13" s="57"/>
      <c r="B13" s="59"/>
      <c r="C13" s="57"/>
      <c r="D13" s="645" t="s">
        <v>137</v>
      </c>
      <c r="E13" s="646" t="s">
        <v>138</v>
      </c>
      <c r="F13" s="647" t="s">
        <v>136</v>
      </c>
      <c r="G13" s="648" t="s">
        <v>135</v>
      </c>
      <c r="H13" s="649">
        <v>16.100000000000001</v>
      </c>
      <c r="I13" s="650">
        <v>1.85</v>
      </c>
      <c r="J13" s="650">
        <v>8.8000000000000007</v>
      </c>
      <c r="K13" s="651">
        <f>J13/(J13+L13+N13)</f>
        <v>2.3184129409595071E-2</v>
      </c>
      <c r="L13" s="650">
        <v>0</v>
      </c>
      <c r="M13" s="651">
        <f>L13/(J13+L13+N13)</f>
        <v>0</v>
      </c>
      <c r="N13" s="650">
        <v>370.77</v>
      </c>
      <c r="O13" s="651">
        <f>N13/(N13+L13+J13)</f>
        <v>0.97681587059040487</v>
      </c>
      <c r="P13" s="764">
        <v>0.21</v>
      </c>
      <c r="Q13" s="653">
        <f>I13/(1+(1-P13)*(J13+L13)/N13)</f>
        <v>1.8159506197679776</v>
      </c>
      <c r="R13" s="654"/>
      <c r="S13" s="655"/>
      <c r="T13" s="656"/>
      <c r="U13" s="655"/>
      <c r="V13" s="657"/>
      <c r="W13" s="657"/>
      <c r="X13" s="657"/>
      <c r="Y13" s="657"/>
      <c r="Z13" s="658"/>
      <c r="AA13" s="658"/>
      <c r="AB13" s="658"/>
      <c r="AC13" s="658"/>
    </row>
    <row r="14" spans="1:29" customFormat="1" ht="16">
      <c r="A14" s="57"/>
      <c r="B14" s="57"/>
      <c r="C14" s="57"/>
      <c r="D14" s="645" t="s">
        <v>139</v>
      </c>
      <c r="E14" s="646" t="s">
        <v>140</v>
      </c>
      <c r="F14" s="647" t="s">
        <v>136</v>
      </c>
      <c r="G14" s="648" t="s">
        <v>135</v>
      </c>
      <c r="H14" s="649">
        <v>3.4</v>
      </c>
      <c r="I14" s="650">
        <v>2.2400000000000002</v>
      </c>
      <c r="J14" s="650">
        <f>655.56</f>
        <v>655.56</v>
      </c>
      <c r="K14" s="651">
        <f t="shared" ref="K14:K15" si="0">J14/(J14+L14+N14)</f>
        <v>0.27139048502210666</v>
      </c>
      <c r="L14" s="650">
        <v>0</v>
      </c>
      <c r="M14" s="651">
        <f t="shared" ref="M14:M15" si="1">L14/(J14+L14+N14)</f>
        <v>0</v>
      </c>
      <c r="N14" s="650">
        <v>1760</v>
      </c>
      <c r="O14" s="651">
        <f t="shared" ref="O14:O15" si="2">N14/(N14+L14+J14)</f>
        <v>0.72860951497789339</v>
      </c>
      <c r="P14" s="764">
        <v>0.21</v>
      </c>
      <c r="Q14" s="653">
        <f t="shared" ref="Q14:Q15" si="3">I14/(1+(1-P14)*(J14+L14)/N14)</f>
        <v>1.7307226627561514</v>
      </c>
      <c r="R14" s="654"/>
      <c r="S14" s="655"/>
      <c r="T14" s="656"/>
      <c r="U14" s="655"/>
      <c r="V14" s="657"/>
      <c r="W14" s="657"/>
      <c r="X14" s="657"/>
      <c r="Y14" s="657"/>
      <c r="Z14" s="658"/>
      <c r="AA14" s="658"/>
      <c r="AB14" s="658"/>
      <c r="AC14" s="658"/>
    </row>
    <row r="15" spans="1:29" customFormat="1" ht="16">
      <c r="A15" s="57"/>
      <c r="B15" s="57"/>
      <c r="C15" s="57"/>
      <c r="D15" s="645" t="s">
        <v>141</v>
      </c>
      <c r="E15" s="646" t="s">
        <v>142</v>
      </c>
      <c r="F15" s="647" t="s">
        <v>136</v>
      </c>
      <c r="G15" s="648" t="s">
        <v>135</v>
      </c>
      <c r="H15" s="649">
        <v>4.8499999999999996</v>
      </c>
      <c r="I15" s="650">
        <v>3.36</v>
      </c>
      <c r="J15" s="650">
        <v>403.28</v>
      </c>
      <c r="K15" s="651">
        <f t="shared" si="0"/>
        <v>0.53434386262454947</v>
      </c>
      <c r="L15" s="650">
        <v>0</v>
      </c>
      <c r="M15" s="651">
        <f t="shared" si="1"/>
        <v>0</v>
      </c>
      <c r="N15" s="650">
        <v>351.44</v>
      </c>
      <c r="O15" s="651">
        <f t="shared" si="2"/>
        <v>0.46565613737545047</v>
      </c>
      <c r="P15" s="764">
        <v>0.21</v>
      </c>
      <c r="Q15" s="653">
        <f t="shared" si="3"/>
        <v>1.762363304872967</v>
      </c>
      <c r="R15" s="654"/>
      <c r="S15" s="655"/>
      <c r="T15" s="656"/>
      <c r="U15" s="655"/>
      <c r="V15" s="657"/>
      <c r="W15" s="657"/>
      <c r="X15" s="657"/>
      <c r="Y15" s="657"/>
      <c r="Z15" s="658"/>
      <c r="AA15" s="658"/>
      <c r="AB15" s="658"/>
      <c r="AC15" s="658"/>
    </row>
    <row r="16" spans="1:29" customFormat="1" ht="16">
      <c r="A16" s="57"/>
      <c r="B16" s="59"/>
      <c r="C16" s="8"/>
      <c r="D16" s="645" t="s">
        <v>524</v>
      </c>
      <c r="E16" s="646" t="s">
        <v>525</v>
      </c>
      <c r="F16" s="647" t="s">
        <v>136</v>
      </c>
      <c r="G16" s="648" t="s">
        <v>135</v>
      </c>
      <c r="H16" s="759">
        <v>1.2</v>
      </c>
      <c r="I16" s="650">
        <v>4.2699999999999996</v>
      </c>
      <c r="J16" s="650">
        <v>135</v>
      </c>
      <c r="K16" s="651">
        <f t="shared" ref="K16" si="4">J16/(J16+L16+N16)</f>
        <v>0.17974667701652472</v>
      </c>
      <c r="L16" s="650">
        <v>59.856999999999999</v>
      </c>
      <c r="M16" s="651">
        <f t="shared" ref="M16" si="5">L16/(J16+L16+N16)</f>
        <v>7.9697013675393474E-2</v>
      </c>
      <c r="N16" s="650">
        <v>556.20000000000005</v>
      </c>
      <c r="O16" s="651">
        <f t="shared" ref="O16" si="6">N16/(N16+L16+J16)</f>
        <v>0.74055630930808181</v>
      </c>
      <c r="P16" s="764">
        <v>0.21</v>
      </c>
      <c r="Q16" s="653">
        <f>I16/(1+(1-P16)*(J16+L16)/N16)</f>
        <v>3.3443883358680786</v>
      </c>
      <c r="R16" s="654"/>
      <c r="S16" s="655"/>
      <c r="T16" s="656"/>
      <c r="U16" s="655"/>
      <c r="V16" s="657"/>
      <c r="W16" s="657"/>
      <c r="X16" s="657"/>
      <c r="Y16" s="657"/>
      <c r="Z16" s="658"/>
      <c r="AA16" s="658"/>
      <c r="AB16" s="658"/>
      <c r="AC16" s="658"/>
    </row>
    <row r="17" spans="1:29" customFormat="1" ht="16">
      <c r="A17" s="57"/>
      <c r="B17" s="8"/>
      <c r="C17" s="8"/>
      <c r="D17" s="639"/>
      <c r="E17" s="639"/>
      <c r="F17" s="639"/>
      <c r="G17" s="639"/>
      <c r="H17" s="639"/>
      <c r="I17" s="639"/>
      <c r="J17" s="639"/>
      <c r="K17" s="639"/>
      <c r="L17" s="639"/>
      <c r="M17" s="639"/>
      <c r="N17" s="639"/>
      <c r="O17" s="639"/>
      <c r="P17" s="639"/>
      <c r="Q17" s="639"/>
      <c r="R17" s="657"/>
      <c r="S17" s="657"/>
      <c r="T17" s="659"/>
      <c r="U17" s="657"/>
      <c r="V17" s="657"/>
      <c r="W17" s="657"/>
      <c r="X17" s="657"/>
      <c r="Y17" s="660"/>
      <c r="Z17" s="660"/>
      <c r="AA17" s="660"/>
      <c r="AB17" s="660"/>
      <c r="AC17" s="661"/>
    </row>
    <row r="18" spans="1:29" customFormat="1" ht="16">
      <c r="A18" s="57"/>
      <c r="B18" s="8"/>
      <c r="C18" s="8"/>
      <c r="D18" s="645"/>
      <c r="E18" s="645"/>
      <c r="F18" s="645"/>
      <c r="G18" s="645"/>
      <c r="H18" s="645"/>
      <c r="I18" s="657"/>
      <c r="J18" s="657"/>
      <c r="K18" s="657"/>
      <c r="L18" s="657"/>
      <c r="M18" s="657"/>
      <c r="N18" s="657"/>
      <c r="O18" s="657"/>
      <c r="P18" s="657"/>
      <c r="Q18" s="657"/>
      <c r="R18" s="657"/>
      <c r="S18" s="657"/>
      <c r="T18" s="659"/>
      <c r="U18" s="657"/>
      <c r="V18" s="657"/>
      <c r="W18" s="657"/>
      <c r="X18" s="657"/>
      <c r="Y18" s="660"/>
      <c r="Z18" s="660"/>
      <c r="AA18" s="660"/>
      <c r="AB18" s="660"/>
      <c r="AC18" s="661"/>
    </row>
    <row r="19" spans="1:29" customFormat="1" ht="16">
      <c r="A19" s="57"/>
      <c r="B19" s="8"/>
      <c r="C19" s="8"/>
      <c r="D19" s="693" t="s">
        <v>144</v>
      </c>
      <c r="E19" s="662"/>
      <c r="F19" s="663"/>
      <c r="G19" s="663"/>
      <c r="H19" s="664">
        <f>AVERAGE(H12,H13:H16)</f>
        <v>5.1499999999999995</v>
      </c>
      <c r="I19" s="664">
        <f t="shared" ref="I19:Q19" si="7">AVERAGE(I12:I16)</f>
        <v>2.9039999999999999</v>
      </c>
      <c r="J19" s="664">
        <f t="shared" si="7"/>
        <v>318.5992</v>
      </c>
      <c r="K19" s="692">
        <f t="shared" si="7"/>
        <v>0.28741295039277992</v>
      </c>
      <c r="L19" s="664">
        <f t="shared" si="7"/>
        <v>11.971399999999999</v>
      </c>
      <c r="M19" s="692">
        <f t="shared" si="7"/>
        <v>1.5939402735078694E-2</v>
      </c>
      <c r="N19" s="664">
        <f t="shared" si="7"/>
        <v>711.85</v>
      </c>
      <c r="O19" s="692">
        <f t="shared" si="7"/>
        <v>0.69664764687214153</v>
      </c>
      <c r="P19" s="664">
        <f t="shared" si="7"/>
        <v>0.21000000000000002</v>
      </c>
      <c r="Q19" s="698">
        <f t="shared" si="7"/>
        <v>2.0824251306242116</v>
      </c>
      <c r="R19" s="659"/>
      <c r="S19" s="665"/>
      <c r="T19" s="659"/>
      <c r="U19" s="665"/>
      <c r="V19" s="659"/>
      <c r="W19" s="666"/>
      <c r="X19" s="659"/>
      <c r="Y19" s="657"/>
      <c r="Z19" s="658"/>
      <c r="AA19" s="658"/>
      <c r="AB19" s="658"/>
      <c r="AC19" s="658"/>
    </row>
    <row r="20" spans="1:29" customFormat="1" ht="16">
      <c r="A20" s="57"/>
      <c r="B20" s="8"/>
      <c r="C20" s="8"/>
      <c r="D20" s="694" t="s">
        <v>145</v>
      </c>
      <c r="E20" s="668"/>
      <c r="F20" s="668"/>
      <c r="G20" s="668"/>
      <c r="H20" s="669">
        <f t="shared" ref="H20:Q20" si="8">MEDIAN(H12:H16)</f>
        <v>3.4</v>
      </c>
      <c r="I20" s="695">
        <f t="shared" si="8"/>
        <v>2.8</v>
      </c>
      <c r="J20" s="695">
        <f t="shared" si="8"/>
        <v>390.35599999999999</v>
      </c>
      <c r="K20" s="696">
        <f t="shared" si="8"/>
        <v>0.27139048502210666</v>
      </c>
      <c r="L20" s="695">
        <f t="shared" si="8"/>
        <v>0</v>
      </c>
      <c r="M20" s="696">
        <f t="shared" si="8"/>
        <v>0</v>
      </c>
      <c r="N20" s="695">
        <f t="shared" si="8"/>
        <v>520.84</v>
      </c>
      <c r="O20" s="696">
        <f t="shared" si="8"/>
        <v>0.72860951497789339</v>
      </c>
      <c r="P20" s="695">
        <f t="shared" si="8"/>
        <v>0.21</v>
      </c>
      <c r="Q20" s="697">
        <f t="shared" si="8"/>
        <v>1.762363304872967</v>
      </c>
      <c r="R20" s="659"/>
      <c r="S20" s="665"/>
      <c r="T20" s="659"/>
      <c r="U20" s="665"/>
      <c r="V20" s="667"/>
      <c r="W20" s="657"/>
      <c r="X20" s="666"/>
      <c r="Y20" s="666"/>
      <c r="Z20" s="658"/>
      <c r="AA20" s="658"/>
      <c r="AB20" s="658"/>
      <c r="AC20" s="658"/>
    </row>
    <row r="21" spans="1:29" customFormat="1" ht="16">
      <c r="A21" s="57"/>
      <c r="B21" s="639"/>
      <c r="C21" s="639"/>
      <c r="D21" s="639"/>
      <c r="E21" s="639"/>
      <c r="F21" s="639"/>
      <c r="G21" s="639"/>
      <c r="H21" s="639"/>
      <c r="I21" s="639"/>
      <c r="J21" s="639"/>
      <c r="K21" s="639"/>
      <c r="L21" s="639"/>
      <c r="M21" s="639"/>
      <c r="N21" s="639"/>
      <c r="O21" s="639"/>
      <c r="P21" s="639"/>
      <c r="Q21" s="639"/>
      <c r="R21" s="639"/>
      <c r="S21" s="639"/>
      <c r="T21" s="639"/>
      <c r="U21" s="639"/>
      <c r="V21" s="639"/>
      <c r="W21" s="639"/>
      <c r="X21" s="639"/>
      <c r="Y21" s="639"/>
      <c r="Z21" s="639"/>
      <c r="AA21" s="639"/>
      <c r="AB21" s="639"/>
      <c r="AC21" s="639"/>
    </row>
    <row r="22" spans="1:29" customFormat="1" ht="16">
      <c r="A22" s="57"/>
      <c r="B22" s="639"/>
      <c r="C22" s="639"/>
      <c r="D22" s="375" t="s">
        <v>146</v>
      </c>
      <c r="E22" s="375"/>
      <c r="F22" s="374"/>
      <c r="G22" s="374"/>
      <c r="H22" s="374"/>
      <c r="I22" s="374"/>
      <c r="J22" s="374"/>
      <c r="K22" s="374"/>
      <c r="L22" s="374"/>
      <c r="M22" s="374"/>
      <c r="N22" s="374"/>
      <c r="O22" s="374"/>
      <c r="P22" s="374"/>
      <c r="Q22" s="374"/>
      <c r="R22" s="639"/>
      <c r="S22" s="639"/>
      <c r="T22" s="639"/>
      <c r="U22" s="639"/>
      <c r="V22" s="639"/>
      <c r="W22" s="639"/>
      <c r="X22" s="639"/>
      <c r="Y22" s="639"/>
      <c r="Z22" s="639"/>
      <c r="AA22" s="639"/>
      <c r="AB22" s="639"/>
      <c r="AC22" s="639"/>
    </row>
    <row r="23" spans="1:29" customFormat="1" ht="16">
      <c r="A23" s="57"/>
      <c r="B23" s="639"/>
      <c r="C23" s="639"/>
      <c r="D23" s="645" t="s">
        <v>147</v>
      </c>
      <c r="E23" s="646" t="s">
        <v>8</v>
      </c>
      <c r="F23" s="647" t="s">
        <v>136</v>
      </c>
      <c r="G23" s="648" t="s">
        <v>135</v>
      </c>
      <c r="H23" s="648"/>
      <c r="I23" s="670">
        <f>Q23*(1+(1-P23)*((J23+L23)/N23))</f>
        <v>2.1920845805871201</v>
      </c>
      <c r="J23" s="671">
        <f>AVERAGE('[1]Debt &amp; Equity'!M13:Q13)</f>
        <v>22736.572827960328</v>
      </c>
      <c r="K23" s="651">
        <f>J23/(J23+L23+N23)</f>
        <v>6.2492018075294933E-2</v>
      </c>
      <c r="L23" s="650"/>
      <c r="M23" s="651">
        <f t="shared" ref="M23:M24" si="9">L23/(J23+L23+N23)</f>
        <v>0</v>
      </c>
      <c r="N23" s="672">
        <f>AVERAGE('[1]3FS'!J95:N95)</f>
        <v>341095.0576462812</v>
      </c>
      <c r="O23" s="651">
        <f t="shared" ref="O23:O24" si="10">N23/(N23+L23+J23)</f>
        <v>0.93750798192470508</v>
      </c>
      <c r="P23" s="764">
        <v>0.21</v>
      </c>
      <c r="Q23" s="653">
        <f>Q19</f>
        <v>2.0824251306242116</v>
      </c>
      <c r="R23" s="639"/>
      <c r="S23" s="639"/>
      <c r="T23" s="639"/>
      <c r="U23" s="639"/>
      <c r="V23" s="639"/>
      <c r="W23" s="639"/>
      <c r="X23" s="639"/>
      <c r="Y23" s="639"/>
      <c r="Z23" s="639"/>
      <c r="AA23" s="639"/>
      <c r="AB23" s="639"/>
      <c r="AC23" s="639"/>
    </row>
    <row r="24" spans="1:29" customFormat="1" ht="16" hidden="1">
      <c r="A24" s="57"/>
      <c r="B24" s="639"/>
      <c r="C24" s="639"/>
      <c r="D24" s="643"/>
      <c r="E24" s="639"/>
      <c r="F24" s="639"/>
      <c r="G24" s="643" t="s">
        <v>523</v>
      </c>
      <c r="H24" s="639"/>
      <c r="I24" s="670">
        <f>Q24*(1+(1-P24)*((J24+L24)/N24))</f>
        <v>1.863523984387587</v>
      </c>
      <c r="J24" s="672">
        <f>[1]DCF!G24</f>
        <v>316.89600000000002</v>
      </c>
      <c r="K24" s="651">
        <f>J24/(J24+L24+N24)</f>
        <v>6.7737246448099545E-2</v>
      </c>
      <c r="L24" s="650">
        <v>0</v>
      </c>
      <c r="M24" s="651">
        <f t="shared" si="9"/>
        <v>0</v>
      </c>
      <c r="N24" s="672">
        <f>[1]DCF!G27</f>
        <v>4361.4164000000001</v>
      </c>
      <c r="O24" s="651">
        <f t="shared" si="10"/>
        <v>0.93226275355190047</v>
      </c>
      <c r="P24" s="652">
        <v>0.21</v>
      </c>
      <c r="Q24" s="653">
        <f>Q20</f>
        <v>1.762363304872967</v>
      </c>
      <c r="R24" s="643" t="s">
        <v>148</v>
      </c>
      <c r="S24" s="639"/>
      <c r="T24" s="639"/>
      <c r="U24" s="639"/>
      <c r="V24" s="639"/>
      <c r="W24" s="639"/>
      <c r="X24" s="639"/>
      <c r="Y24" s="639"/>
      <c r="Z24" s="639"/>
      <c r="AA24" s="639"/>
      <c r="AB24" s="639"/>
      <c r="AC24" s="639"/>
    </row>
  </sheetData>
  <mergeCells count="2">
    <mergeCell ref="I6:U6"/>
    <mergeCell ref="V6:Z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0051C-C5E6-2E4D-B2CB-CB0891731EC6}">
  <sheetPr>
    <tabColor rgb="FF002060"/>
  </sheetPr>
  <dimension ref="A1"/>
  <sheetViews>
    <sheetView workbookViewId="0">
      <selection activeCell="G43" sqref="G43"/>
    </sheetView>
  </sheetViews>
  <sheetFormatPr baseColWidth="10" defaultColWidth="10.83203125" defaultRowHeight="1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F9E02-8A1A-C243-B6F9-E29519DCC466}">
  <dimension ref="B1:X148"/>
  <sheetViews>
    <sheetView showGridLines="0" topLeftCell="A70" zoomScaleNormal="85" workbookViewId="0">
      <selection activeCell="I94" sqref="I94"/>
    </sheetView>
  </sheetViews>
  <sheetFormatPr baseColWidth="10" defaultColWidth="10.6640625" defaultRowHeight="16"/>
  <cols>
    <col min="1" max="1" width="2.5" style="469" customWidth="1"/>
    <col min="2" max="2" width="1.6640625" style="469" customWidth="1"/>
    <col min="3" max="3" width="62.5" style="469" customWidth="1"/>
    <col min="4" max="4" width="10.6640625" style="469"/>
    <col min="5" max="9" width="13.6640625" style="469" bestFit="1" customWidth="1"/>
    <col min="10" max="11" width="12.6640625" style="469" bestFit="1" customWidth="1"/>
    <col min="12" max="13" width="12.33203125" style="469" bestFit="1" customWidth="1"/>
    <col min="14" max="14" width="13.1640625" style="469" bestFit="1" customWidth="1"/>
    <col min="15" max="15" width="10.6640625" style="469"/>
    <col min="16" max="16" width="21.6640625" style="469" customWidth="1"/>
    <col min="17" max="18" width="10.6640625" style="469"/>
    <col min="19" max="23" width="0" style="469" hidden="1" customWidth="1"/>
    <col min="24" max="16384" width="10.6640625" style="469"/>
  </cols>
  <sheetData>
    <row r="1" spans="2:16" ht="24">
      <c r="B1" s="466"/>
      <c r="C1" s="467" t="s">
        <v>32</v>
      </c>
      <c r="D1" s="466"/>
      <c r="E1" s="466"/>
      <c r="F1" s="466"/>
      <c r="G1" s="466"/>
      <c r="H1" s="466"/>
      <c r="I1" s="466"/>
      <c r="J1" s="466"/>
      <c r="K1" s="466"/>
      <c r="L1" s="466"/>
      <c r="M1" s="466"/>
      <c r="N1" s="466"/>
      <c r="O1" s="468"/>
    </row>
    <row r="2" spans="2:16">
      <c r="B2" s="466"/>
      <c r="C2" s="466"/>
      <c r="D2" s="466"/>
      <c r="E2" s="466"/>
      <c r="F2" s="466"/>
      <c r="G2" s="466"/>
      <c r="H2" s="466"/>
      <c r="I2" s="466"/>
      <c r="J2" s="466"/>
      <c r="K2" s="466"/>
      <c r="L2" s="466"/>
      <c r="M2" s="466"/>
      <c r="N2" s="466"/>
      <c r="O2" s="468"/>
    </row>
    <row r="3" spans="2:16">
      <c r="B3" s="466"/>
      <c r="C3" s="466" t="s">
        <v>33</v>
      </c>
      <c r="D3" s="466"/>
      <c r="E3" s="466"/>
      <c r="F3" s="466"/>
      <c r="G3" s="466"/>
      <c r="H3" s="466"/>
      <c r="I3" s="466"/>
      <c r="J3" s="466"/>
      <c r="K3" s="466"/>
      <c r="L3" s="466"/>
      <c r="M3" s="466"/>
      <c r="N3" s="466"/>
      <c r="O3" s="468"/>
    </row>
    <row r="4" spans="2:16">
      <c r="B4" s="466"/>
      <c r="C4" s="466" t="s">
        <v>34</v>
      </c>
      <c r="D4" s="466" t="str">
        <f>[2]Cover!C11</f>
        <v>Base Case</v>
      </c>
      <c r="E4" s="466"/>
      <c r="F4" s="466"/>
      <c r="G4" s="466"/>
      <c r="H4" s="466"/>
      <c r="I4" s="466"/>
      <c r="J4" s="466"/>
      <c r="K4" s="466"/>
      <c r="L4" s="466"/>
      <c r="M4" s="466"/>
      <c r="N4" s="466"/>
      <c r="O4" s="468"/>
    </row>
    <row r="5" spans="2:16">
      <c r="B5" s="466"/>
      <c r="C5" s="466"/>
      <c r="D5" s="466"/>
      <c r="E5" s="785" t="s">
        <v>35</v>
      </c>
      <c r="F5" s="785"/>
      <c r="G5" s="785"/>
      <c r="H5" s="785"/>
      <c r="I5" s="785"/>
      <c r="J5" s="785" t="s">
        <v>36</v>
      </c>
      <c r="K5" s="785"/>
      <c r="L5" s="785"/>
      <c r="M5" s="785"/>
      <c r="N5" s="785"/>
      <c r="O5" s="468"/>
    </row>
    <row r="6" spans="2:16">
      <c r="B6" s="466"/>
      <c r="C6" s="466" t="s">
        <v>37</v>
      </c>
      <c r="D6" s="466"/>
      <c r="E6" s="470">
        <v>20</v>
      </c>
      <c r="F6" s="470">
        <f t="shared" ref="F6:N6" si="0">E6+1</f>
        <v>21</v>
      </c>
      <c r="G6" s="470">
        <f t="shared" si="0"/>
        <v>22</v>
      </c>
      <c r="H6" s="470">
        <f t="shared" si="0"/>
        <v>23</v>
      </c>
      <c r="I6" s="470">
        <f t="shared" si="0"/>
        <v>24</v>
      </c>
      <c r="J6" s="471">
        <f t="shared" si="0"/>
        <v>25</v>
      </c>
      <c r="K6" s="471">
        <f t="shared" si="0"/>
        <v>26</v>
      </c>
      <c r="L6" s="471">
        <f t="shared" si="0"/>
        <v>27</v>
      </c>
      <c r="M6" s="471">
        <f t="shared" si="0"/>
        <v>28</v>
      </c>
      <c r="N6" s="471">
        <f t="shared" si="0"/>
        <v>29</v>
      </c>
      <c r="O6" s="468"/>
    </row>
    <row r="7" spans="2:16">
      <c r="B7" s="468"/>
      <c r="C7" s="468"/>
      <c r="D7" s="468"/>
      <c r="E7" s="468"/>
      <c r="F7" s="468"/>
      <c r="G7" s="468"/>
      <c r="H7" s="468"/>
      <c r="I7" s="468"/>
      <c r="J7" s="468"/>
      <c r="K7" s="468"/>
      <c r="L7" s="468"/>
      <c r="M7" s="468"/>
      <c r="N7" s="468"/>
      <c r="O7" s="468"/>
    </row>
    <row r="8" spans="2:16">
      <c r="B8" s="472" t="s">
        <v>64</v>
      </c>
      <c r="C8" s="473"/>
      <c r="D8" s="474"/>
      <c r="E8" s="474"/>
      <c r="F8" s="474"/>
      <c r="G8" s="474"/>
      <c r="H8" s="474"/>
      <c r="I8" s="474"/>
      <c r="J8" s="474"/>
      <c r="K8" s="474"/>
      <c r="L8" s="474"/>
      <c r="M8" s="474"/>
      <c r="N8" s="474"/>
      <c r="O8" s="468"/>
    </row>
    <row r="9" spans="2:16">
      <c r="B9" s="468"/>
      <c r="C9" s="474" t="s">
        <v>39</v>
      </c>
      <c r="D9" s="474"/>
      <c r="E9" s="474" t="s">
        <v>149</v>
      </c>
      <c r="F9" s="474" t="s">
        <v>150</v>
      </c>
      <c r="G9" s="474" t="s">
        <v>151</v>
      </c>
      <c r="H9" s="474" t="s">
        <v>152</v>
      </c>
      <c r="I9" s="474" t="s">
        <v>153</v>
      </c>
      <c r="J9" s="474" t="s">
        <v>154</v>
      </c>
      <c r="K9" s="474" t="s">
        <v>155</v>
      </c>
      <c r="L9" s="474" t="s">
        <v>156</v>
      </c>
      <c r="M9" s="474" t="s">
        <v>157</v>
      </c>
      <c r="N9" s="474" t="s">
        <v>158</v>
      </c>
      <c r="O9" s="468"/>
    </row>
    <row r="10" spans="2:16">
      <c r="B10" s="468"/>
      <c r="C10" s="468"/>
      <c r="D10" s="468"/>
      <c r="E10" s="468"/>
      <c r="F10" s="468"/>
      <c r="G10" s="468"/>
      <c r="H10" s="468"/>
      <c r="I10" s="468"/>
      <c r="J10" s="468"/>
      <c r="K10" s="468"/>
      <c r="L10" s="468"/>
      <c r="M10" s="468"/>
      <c r="N10" s="468"/>
      <c r="O10" s="468"/>
    </row>
    <row r="11" spans="2:16">
      <c r="B11" s="468"/>
      <c r="C11" s="475" t="s">
        <v>159</v>
      </c>
      <c r="D11" s="468"/>
      <c r="E11" s="476">
        <v>0.184</v>
      </c>
      <c r="F11" s="476">
        <v>4.5620000000000003</v>
      </c>
      <c r="G11" s="476">
        <v>17.428999999999998</v>
      </c>
      <c r="H11" s="476">
        <v>16.151</v>
      </c>
      <c r="I11" s="476">
        <v>14.503</v>
      </c>
      <c r="J11" s="477">
        <f>'Revenue Build'!L12</f>
        <v>162.57863</v>
      </c>
      <c r="K11" s="477">
        <f>'Revenue Build'!M12</f>
        <v>715.33459149589987</v>
      </c>
      <c r="L11" s="477">
        <f>'Revenue Build'!N12</f>
        <v>1525.2197415382298</v>
      </c>
      <c r="M11" s="477">
        <f>'Revenue Build'!O12</f>
        <v>2100.2502149578668</v>
      </c>
      <c r="N11" s="477">
        <f>'Revenue Build'!P12</f>
        <v>2363.9281044827599</v>
      </c>
      <c r="O11" s="468"/>
      <c r="P11" s="478"/>
    </row>
    <row r="12" spans="2:16">
      <c r="B12" s="468"/>
      <c r="C12" s="475" t="s">
        <v>160</v>
      </c>
      <c r="D12" s="468"/>
      <c r="E12" s="476">
        <v>3.5000000000000003E-2</v>
      </c>
      <c r="F12" s="476">
        <v>3.5999999999999997E-2</v>
      </c>
      <c r="G12" s="476">
        <v>0.495</v>
      </c>
      <c r="H12" s="476">
        <v>0.22700000000000001</v>
      </c>
      <c r="I12" s="476">
        <v>1.103</v>
      </c>
      <c r="J12" s="477">
        <f>'Revenue Build'!L13</f>
        <v>12.36463</v>
      </c>
      <c r="K12" s="477">
        <f>'Revenue Build'!M13</f>
        <v>54.403506475899995</v>
      </c>
      <c r="L12" s="477">
        <f>'Revenue Build'!N13</f>
        <v>115.997888362178</v>
      </c>
      <c r="M12" s="477">
        <f>'Revenue Build'!O13</f>
        <v>159.73081342470712</v>
      </c>
      <c r="N12" s="477">
        <f>'Revenue Build'!P13</f>
        <v>179.78436869919909</v>
      </c>
      <c r="O12" s="468"/>
      <c r="P12" s="478"/>
    </row>
    <row r="13" spans="2:16">
      <c r="B13" s="468"/>
      <c r="C13" s="479" t="s">
        <v>40</v>
      </c>
      <c r="D13" s="480"/>
      <c r="E13" s="481">
        <f t="shared" ref="E13:N13" si="1">SUM(E11:E12)</f>
        <v>0.219</v>
      </c>
      <c r="F13" s="481">
        <f t="shared" si="1"/>
        <v>4.5979999999999999</v>
      </c>
      <c r="G13" s="481">
        <f t="shared" si="1"/>
        <v>17.923999999999999</v>
      </c>
      <c r="H13" s="481">
        <f t="shared" si="1"/>
        <v>16.378</v>
      </c>
      <c r="I13" s="481">
        <f t="shared" si="1"/>
        <v>15.606</v>
      </c>
      <c r="J13" s="481">
        <f t="shared" si="1"/>
        <v>174.94326000000001</v>
      </c>
      <c r="K13" s="481">
        <f t="shared" si="1"/>
        <v>769.7380979717999</v>
      </c>
      <c r="L13" s="481">
        <f t="shared" si="1"/>
        <v>1641.2176299004077</v>
      </c>
      <c r="M13" s="481">
        <f t="shared" si="1"/>
        <v>2259.9810283825741</v>
      </c>
      <c r="N13" s="481">
        <f t="shared" si="1"/>
        <v>2543.712473181959</v>
      </c>
      <c r="O13" s="468"/>
      <c r="P13" s="482"/>
    </row>
    <row r="14" spans="2:16">
      <c r="B14" s="468"/>
      <c r="C14" s="483" t="s">
        <v>161</v>
      </c>
      <c r="D14" s="468"/>
      <c r="E14" s="468"/>
      <c r="F14" s="484">
        <f t="shared" ref="F14:N14" si="2">(F13-E13)/E13</f>
        <v>19.995433789954337</v>
      </c>
      <c r="G14" s="484">
        <f t="shared" si="2"/>
        <v>2.8982166159199654</v>
      </c>
      <c r="H14" s="484">
        <f t="shared" si="2"/>
        <v>-8.6253068511492934E-2</v>
      </c>
      <c r="I14" s="484">
        <f t="shared" si="2"/>
        <v>-4.7136402491146673E-2</v>
      </c>
      <c r="J14" s="484">
        <f t="shared" si="2"/>
        <v>10.210000000000001</v>
      </c>
      <c r="K14" s="484">
        <f t="shared" si="2"/>
        <v>3.399929999999999</v>
      </c>
      <c r="L14" s="484">
        <f t="shared" si="2"/>
        <v>1.1321766899999997</v>
      </c>
      <c r="M14" s="484">
        <f t="shared" si="2"/>
        <v>0.37701483777000017</v>
      </c>
      <c r="N14" s="484">
        <f t="shared" si="2"/>
        <v>0.12554594097740995</v>
      </c>
      <c r="O14" s="468"/>
    </row>
    <row r="15" spans="2:16">
      <c r="B15" s="468"/>
      <c r="C15" s="468"/>
      <c r="D15" s="468"/>
      <c r="E15" s="468"/>
      <c r="F15" s="468"/>
      <c r="G15" s="468"/>
      <c r="H15" s="468"/>
      <c r="I15" s="468"/>
      <c r="J15" s="468"/>
      <c r="K15" s="468"/>
      <c r="L15" s="468"/>
      <c r="M15" s="468"/>
      <c r="N15" s="468"/>
      <c r="O15" s="468"/>
    </row>
    <row r="16" spans="2:16">
      <c r="B16" s="468"/>
      <c r="C16" s="468" t="s">
        <v>162</v>
      </c>
      <c r="D16" s="468"/>
      <c r="E16" s="476">
        <v>-5.5090000000000003</v>
      </c>
      <c r="F16" s="476">
        <v>-46.482999999999997</v>
      </c>
      <c r="G16" s="476">
        <v>-153.26</v>
      </c>
      <c r="H16" s="476">
        <v>-89.798000000000002</v>
      </c>
      <c r="I16" s="476">
        <v>-98.867000000000004</v>
      </c>
      <c r="J16" s="485">
        <f>Projections!K17</f>
        <v>-104.96595600000001</v>
      </c>
      <c r="K16" s="485">
        <f>Projections!L17</f>
        <v>-442.59940633378488</v>
      </c>
      <c r="L16" s="485">
        <f>Projections!M17</f>
        <v>-902.66969644522408</v>
      </c>
      <c r="M16" s="485">
        <f>Projections!N17</f>
        <v>-1186.4900399008511</v>
      </c>
      <c r="N16" s="485">
        <f>Projections!O17</f>
        <v>-1271.8562365909793</v>
      </c>
      <c r="O16" s="468"/>
    </row>
    <row r="17" spans="2:23">
      <c r="B17" s="468"/>
      <c r="C17" s="479" t="s">
        <v>163</v>
      </c>
      <c r="D17" s="480"/>
      <c r="E17" s="481">
        <f t="shared" ref="E17:N17" si="3">SUM(E13,E16)</f>
        <v>-5.29</v>
      </c>
      <c r="F17" s="481">
        <f t="shared" si="3"/>
        <v>-41.884999999999998</v>
      </c>
      <c r="G17" s="481">
        <f t="shared" si="3"/>
        <v>-135.33599999999998</v>
      </c>
      <c r="H17" s="481">
        <f t="shared" si="3"/>
        <v>-73.42</v>
      </c>
      <c r="I17" s="481">
        <f t="shared" si="3"/>
        <v>-83.26100000000001</v>
      </c>
      <c r="J17" s="481">
        <f t="shared" si="3"/>
        <v>69.977304000000004</v>
      </c>
      <c r="K17" s="481">
        <f t="shared" si="3"/>
        <v>327.13869163801502</v>
      </c>
      <c r="L17" s="481">
        <f t="shared" si="3"/>
        <v>738.54793345518362</v>
      </c>
      <c r="M17" s="481">
        <f t="shared" si="3"/>
        <v>1073.490988481723</v>
      </c>
      <c r="N17" s="481">
        <f t="shared" si="3"/>
        <v>1271.8562365909797</v>
      </c>
      <c r="O17" s="468"/>
    </row>
    <row r="18" spans="2:23">
      <c r="B18" s="468"/>
      <c r="C18" s="468" t="s">
        <v>164</v>
      </c>
      <c r="D18" s="468"/>
      <c r="E18" s="484">
        <f t="shared" ref="E18:N18" si="4">E16/E13</f>
        <v>-25.155251141552512</v>
      </c>
      <c r="F18" s="484">
        <f t="shared" si="4"/>
        <v>-10.109395389299696</v>
      </c>
      <c r="G18" s="484">
        <f t="shared" si="4"/>
        <v>-8.5505467529569295</v>
      </c>
      <c r="H18" s="484">
        <f t="shared" si="4"/>
        <v>-5.4828428379533518</v>
      </c>
      <c r="I18" s="484">
        <f t="shared" si="4"/>
        <v>-6.3351915929770604</v>
      </c>
      <c r="J18" s="484">
        <f t="shared" si="4"/>
        <v>-0.6</v>
      </c>
      <c r="K18" s="484">
        <f t="shared" si="4"/>
        <v>-0.57499999999999996</v>
      </c>
      <c r="L18" s="484">
        <f t="shared" si="4"/>
        <v>-0.54999999999999993</v>
      </c>
      <c r="M18" s="484">
        <f t="shared" si="4"/>
        <v>-0.52499999999999991</v>
      </c>
      <c r="N18" s="484">
        <f t="shared" si="4"/>
        <v>-0.49999999999999989</v>
      </c>
      <c r="O18" s="468"/>
    </row>
    <row r="19" spans="2:23">
      <c r="B19" s="468"/>
      <c r="C19" s="468" t="s">
        <v>165</v>
      </c>
      <c r="D19" s="468"/>
      <c r="E19" s="484">
        <f>E17/E13</f>
        <v>-24.155251141552512</v>
      </c>
      <c r="F19" s="484">
        <f t="shared" ref="F19:N19" si="5">F17/F13</f>
        <v>-9.1093953892996957</v>
      </c>
      <c r="G19" s="484">
        <f t="shared" si="5"/>
        <v>-7.5505467529569286</v>
      </c>
      <c r="H19" s="484">
        <f t="shared" si="5"/>
        <v>-4.4828428379533518</v>
      </c>
      <c r="I19" s="484">
        <f t="shared" si="5"/>
        <v>-5.3351915929770604</v>
      </c>
      <c r="J19" s="484">
        <f t="shared" si="5"/>
        <v>0.4</v>
      </c>
      <c r="K19" s="484">
        <f t="shared" si="5"/>
        <v>0.4250000000000001</v>
      </c>
      <c r="L19" s="484">
        <f t="shared" si="5"/>
        <v>0.45000000000000012</v>
      </c>
      <c r="M19" s="484">
        <f t="shared" si="5"/>
        <v>0.47500000000000014</v>
      </c>
      <c r="N19" s="484">
        <f t="shared" si="5"/>
        <v>0.50000000000000011</v>
      </c>
      <c r="O19" s="468"/>
    </row>
    <row r="20" spans="2:23">
      <c r="B20" s="468"/>
      <c r="C20" s="468"/>
      <c r="D20" s="468"/>
      <c r="E20" s="468"/>
      <c r="F20" s="468"/>
      <c r="G20" s="468"/>
      <c r="H20" s="468"/>
      <c r="I20" s="468"/>
      <c r="J20" s="468"/>
      <c r="K20" s="468"/>
      <c r="L20" s="468"/>
      <c r="M20" s="468"/>
      <c r="N20" s="468"/>
      <c r="O20" s="468"/>
    </row>
    <row r="21" spans="2:23">
      <c r="B21" s="472" t="s">
        <v>64</v>
      </c>
      <c r="C21" s="486" t="s">
        <v>166</v>
      </c>
      <c r="D21" s="486"/>
      <c r="E21" s="486"/>
      <c r="F21" s="486"/>
      <c r="G21" s="486"/>
      <c r="H21" s="486"/>
      <c r="I21" s="486"/>
      <c r="J21" s="486"/>
      <c r="K21" s="486"/>
      <c r="L21" s="486"/>
      <c r="M21" s="486"/>
      <c r="N21" s="486"/>
      <c r="O21" s="487"/>
    </row>
    <row r="22" spans="2:23">
      <c r="B22" s="468"/>
      <c r="C22" s="475" t="s">
        <v>167</v>
      </c>
      <c r="D22" s="468"/>
      <c r="E22" s="488">
        <v>-17.620999999999999</v>
      </c>
      <c r="F22" s="488">
        <v>-42.997999999999998</v>
      </c>
      <c r="G22" s="488">
        <v>-60.622999999999998</v>
      </c>
      <c r="H22" s="488">
        <v>-53.65</v>
      </c>
      <c r="I22" s="488">
        <v>-60.046999999999997</v>
      </c>
      <c r="J22" s="489">
        <f>Projections!K27</f>
        <v>-69.977304000000004</v>
      </c>
      <c r="K22" s="489">
        <f>Projections!L27</f>
        <v>-238.61881037125801</v>
      </c>
      <c r="L22" s="489">
        <f>Projections!M27</f>
        <v>-361.06787857808979</v>
      </c>
      <c r="M22" s="489">
        <f>Projections!N27</f>
        <v>-293.79753368973479</v>
      </c>
      <c r="N22" s="489">
        <f>Projections!O27</f>
        <v>-101.74849892727852</v>
      </c>
      <c r="O22" s="487"/>
      <c r="S22" s="490"/>
      <c r="T22" s="490"/>
      <c r="U22" s="490"/>
      <c r="V22" s="490"/>
      <c r="W22" s="490"/>
    </row>
    <row r="23" spans="2:23">
      <c r="B23" s="468"/>
      <c r="C23" s="475" t="s">
        <v>168</v>
      </c>
      <c r="D23" s="468"/>
      <c r="E23" s="488">
        <v>-13.593</v>
      </c>
      <c r="F23" s="488">
        <v>-19.154</v>
      </c>
      <c r="G23" s="488">
        <v>-18.469000000000001</v>
      </c>
      <c r="H23" s="488">
        <v>-18.707999999999998</v>
      </c>
      <c r="I23" s="488">
        <v>-22.757999999999999</v>
      </c>
      <c r="J23" s="491">
        <f>Projections!K33</f>
        <v>-17.494326000000001</v>
      </c>
      <c r="K23" s="491">
        <f>Projections!L33</f>
        <v>-57.730357347885004</v>
      </c>
      <c r="L23" s="491">
        <f>Projections!M33</f>
        <v>-82.060881495020396</v>
      </c>
      <c r="M23" s="491">
        <f>Projections!N33</f>
        <v>-56.499525709564374</v>
      </c>
      <c r="N23" s="491">
        <f>Projections!O33</f>
        <v>0</v>
      </c>
      <c r="O23" s="468"/>
      <c r="S23" s="490">
        <v>477</v>
      </c>
      <c r="T23" s="490">
        <v>785</v>
      </c>
      <c r="U23" s="490">
        <v>924</v>
      </c>
      <c r="V23" s="490">
        <v>843</v>
      </c>
      <c r="W23" s="490">
        <v>836</v>
      </c>
    </row>
    <row r="24" spans="2:23" ht="17">
      <c r="B24" s="468"/>
      <c r="C24" s="475" t="s">
        <v>169</v>
      </c>
      <c r="D24" s="468"/>
      <c r="E24" s="488">
        <v>-0.91300000000000003</v>
      </c>
      <c r="F24" s="488">
        <v>-0.26900000000000002</v>
      </c>
      <c r="G24" s="488">
        <f>--0.016</f>
        <v>1.6E-2</v>
      </c>
      <c r="H24" s="488">
        <v>0</v>
      </c>
      <c r="I24" s="488">
        <v>0</v>
      </c>
      <c r="J24" s="477">
        <f>Projections!K39</f>
        <v>0</v>
      </c>
      <c r="K24" s="477">
        <f>Projections!L39</f>
        <v>0</v>
      </c>
      <c r="L24" s="477">
        <f>Projections!M39</f>
        <v>0</v>
      </c>
      <c r="M24" s="477">
        <f>Projections!N39</f>
        <v>0</v>
      </c>
      <c r="N24" s="477">
        <f>Projections!O39</f>
        <v>0</v>
      </c>
      <c r="O24" s="468"/>
      <c r="S24" s="490" t="s">
        <v>143</v>
      </c>
      <c r="T24" s="490" t="s">
        <v>143</v>
      </c>
      <c r="U24" s="490">
        <v>20</v>
      </c>
      <c r="V24" s="490">
        <v>26</v>
      </c>
      <c r="W24" s="490">
        <v>31</v>
      </c>
    </row>
    <row r="25" spans="2:23" ht="19">
      <c r="B25" s="468"/>
      <c r="C25" s="492" t="s">
        <v>170</v>
      </c>
      <c r="D25" s="468"/>
      <c r="E25" s="493">
        <f>SUM(E22:E24)</f>
        <v>-32.126999999999995</v>
      </c>
      <c r="F25" s="493">
        <f>SUM(F22:F24)</f>
        <v>-62.420999999999999</v>
      </c>
      <c r="G25" s="493">
        <f>SUM(G22:G24)</f>
        <v>-79.075999999999993</v>
      </c>
      <c r="H25" s="493">
        <f>SUM(H22:H24)</f>
        <v>-72.358000000000004</v>
      </c>
      <c r="I25" s="493">
        <f>SUM(I22:I24)</f>
        <v>-82.804999999999993</v>
      </c>
      <c r="J25" s="494">
        <f t="shared" ref="J25:N25" si="6">SUM(J22:J24)</f>
        <v>-87.471630000000005</v>
      </c>
      <c r="K25" s="494">
        <f t="shared" si="6"/>
        <v>-296.349167719143</v>
      </c>
      <c r="L25" s="494">
        <f t="shared" si="6"/>
        <v>-443.12876007311019</v>
      </c>
      <c r="M25" s="494">
        <f t="shared" si="6"/>
        <v>-350.29705939929914</v>
      </c>
      <c r="N25" s="494">
        <f t="shared" si="6"/>
        <v>-101.74849892727852</v>
      </c>
      <c r="O25" s="468"/>
      <c r="S25" s="490">
        <v>257</v>
      </c>
      <c r="T25" s="490">
        <v>356</v>
      </c>
      <c r="U25" s="490">
        <v>465</v>
      </c>
      <c r="V25" s="490">
        <v>421</v>
      </c>
      <c r="W25" s="490">
        <v>410</v>
      </c>
    </row>
    <row r="26" spans="2:23">
      <c r="B26" s="468"/>
      <c r="C26" s="479" t="s">
        <v>171</v>
      </c>
      <c r="D26" s="495"/>
      <c r="E26" s="481">
        <f>E17+E25</f>
        <v>-37.416999999999994</v>
      </c>
      <c r="F26" s="481">
        <f t="shared" ref="F26:N26" si="7">F17+F25</f>
        <v>-104.306</v>
      </c>
      <c r="G26" s="481">
        <f t="shared" si="7"/>
        <v>-214.41199999999998</v>
      </c>
      <c r="H26" s="481">
        <f t="shared" si="7"/>
        <v>-145.77800000000002</v>
      </c>
      <c r="I26" s="481">
        <f t="shared" si="7"/>
        <v>-166.066</v>
      </c>
      <c r="J26" s="481">
        <f t="shared" si="7"/>
        <v>-17.494326000000001</v>
      </c>
      <c r="K26" s="481">
        <f t="shared" si="7"/>
        <v>30.789523918872021</v>
      </c>
      <c r="L26" s="481">
        <f>L17+L25</f>
        <v>295.41917338207344</v>
      </c>
      <c r="M26" s="481">
        <f t="shared" si="7"/>
        <v>723.19392908242389</v>
      </c>
      <c r="N26" s="481">
        <f t="shared" si="7"/>
        <v>1170.1077376637013</v>
      </c>
      <c r="O26" s="468"/>
    </row>
    <row r="27" spans="2:23">
      <c r="B27" s="468"/>
      <c r="C27" s="468" t="s">
        <v>164</v>
      </c>
      <c r="D27" s="468"/>
      <c r="E27" s="484">
        <f t="shared" ref="E27:N27" si="8">E26/E13</f>
        <v>-170.85388127853878</v>
      </c>
      <c r="F27" s="484">
        <f t="shared" si="8"/>
        <v>-22.685080469769463</v>
      </c>
      <c r="G27" s="484">
        <f t="shared" si="8"/>
        <v>-11.96228520419549</v>
      </c>
      <c r="H27" s="484">
        <f t="shared" si="8"/>
        <v>-8.9008425937232882</v>
      </c>
      <c r="I27" s="484">
        <f t="shared" si="8"/>
        <v>-10.641163655004485</v>
      </c>
      <c r="J27" s="484">
        <f t="shared" si="8"/>
        <v>-0.1</v>
      </c>
      <c r="K27" s="484">
        <f t="shared" si="8"/>
        <v>4.0000000000000036E-2</v>
      </c>
      <c r="L27" s="484">
        <f t="shared" si="8"/>
        <v>0.18000000000000002</v>
      </c>
      <c r="M27" s="484">
        <f t="shared" si="8"/>
        <v>0.32000000000000006</v>
      </c>
      <c r="N27" s="484">
        <f t="shared" si="8"/>
        <v>0.46000000000000008</v>
      </c>
      <c r="O27" s="468"/>
    </row>
    <row r="28" spans="2:23">
      <c r="B28" s="468"/>
      <c r="C28" s="468"/>
      <c r="D28" s="468"/>
      <c r="E28" s="484"/>
      <c r="F28" s="484"/>
      <c r="G28" s="484"/>
      <c r="H28" s="484"/>
      <c r="I28" s="484"/>
      <c r="J28" s="484"/>
      <c r="K28" s="484"/>
      <c r="L28" s="484"/>
      <c r="M28" s="484"/>
      <c r="N28" s="484"/>
      <c r="O28" s="468"/>
    </row>
    <row r="29" spans="2:23">
      <c r="B29" s="468"/>
      <c r="C29" s="479" t="s">
        <v>41</v>
      </c>
      <c r="D29" s="480"/>
      <c r="E29" s="496"/>
      <c r="F29" s="569">
        <v>-101.693</v>
      </c>
      <c r="G29" s="569">
        <v>-207.59800000000001</v>
      </c>
      <c r="H29" s="569">
        <v>-136.07</v>
      </c>
      <c r="I29" s="569">
        <v>-158.21700000000001</v>
      </c>
      <c r="J29" s="481">
        <f ca="1">J26+J105+J106</f>
        <v>-0.43026561351621778</v>
      </c>
      <c r="K29" s="481">
        <f ca="1">K26+K105+K106</f>
        <v>64.3267512260377</v>
      </c>
      <c r="L29" s="481">
        <f ca="1">L26+L105+L106</f>
        <v>361.55404101209166</v>
      </c>
      <c r="M29" s="481">
        <f ca="1">M26+M105+M106</f>
        <v>845.62580227862532</v>
      </c>
      <c r="N29" s="481">
        <f ca="1">N26+N105+N106</f>
        <v>1397.5829716665787</v>
      </c>
      <c r="O29" s="468"/>
    </row>
    <row r="30" spans="2:23">
      <c r="B30" s="468"/>
      <c r="C30" s="468" t="s">
        <v>164</v>
      </c>
      <c r="D30" s="468"/>
      <c r="E30" s="484">
        <f t="shared" ref="E30:N30" si="9">E29/E13</f>
        <v>0</v>
      </c>
      <c r="F30" s="484">
        <f t="shared" si="9"/>
        <v>-22.116789908655939</v>
      </c>
      <c r="G30" s="484">
        <f t="shared" si="9"/>
        <v>-11.582124525775498</v>
      </c>
      <c r="H30" s="484">
        <f t="shared" si="9"/>
        <v>-8.3080962266454996</v>
      </c>
      <c r="I30" s="484">
        <f t="shared" si="9"/>
        <v>-10.138216070742024</v>
      </c>
      <c r="J30" s="484">
        <f t="shared" ca="1" si="9"/>
        <v>-2.4594580752423257E-3</v>
      </c>
      <c r="K30" s="484">
        <f t="shared" ca="1" si="9"/>
        <v>8.3569660116257327E-2</v>
      </c>
      <c r="L30" s="484">
        <f t="shared" ca="1" si="9"/>
        <v>0.2202962205774206</v>
      </c>
      <c r="M30" s="484">
        <f t="shared" ca="1" si="9"/>
        <v>0.37417384998307873</v>
      </c>
      <c r="N30" s="484">
        <f t="shared" ca="1" si="9"/>
        <v>0.54942647268554146</v>
      </c>
      <c r="O30" s="468"/>
    </row>
    <row r="31" spans="2:23">
      <c r="B31" s="468"/>
      <c r="C31" s="483"/>
      <c r="D31" s="468"/>
      <c r="E31" s="468"/>
      <c r="F31" s="468"/>
      <c r="G31" s="468"/>
      <c r="H31" s="468"/>
      <c r="I31" s="468"/>
      <c r="J31" s="468"/>
      <c r="K31" s="468"/>
      <c r="L31" s="468"/>
      <c r="M31" s="468"/>
      <c r="N31" s="468"/>
      <c r="O31" s="468"/>
    </row>
    <row r="32" spans="2:23">
      <c r="B32" s="472" t="s">
        <v>64</v>
      </c>
      <c r="C32" s="486" t="s">
        <v>172</v>
      </c>
      <c r="D32" s="486"/>
      <c r="E32" s="486"/>
      <c r="F32" s="486"/>
      <c r="G32" s="486"/>
      <c r="H32" s="486"/>
      <c r="I32" s="486"/>
      <c r="J32" s="486"/>
      <c r="K32" s="486"/>
      <c r="L32" s="486"/>
      <c r="M32" s="486"/>
      <c r="N32" s="486"/>
      <c r="O32" s="468"/>
    </row>
    <row r="33" spans="2:16">
      <c r="B33" s="497"/>
      <c r="C33" s="498" t="s">
        <v>173</v>
      </c>
      <c r="D33" s="499"/>
      <c r="E33" s="500">
        <v>-23.821000000000002</v>
      </c>
      <c r="F33" s="500">
        <v>-5.2009999999999996</v>
      </c>
      <c r="G33" s="500">
        <v>-18.812999999999999</v>
      </c>
      <c r="H33" s="500">
        <v>-56.235999999999997</v>
      </c>
      <c r="I33" s="500">
        <v>-28.216999999999999</v>
      </c>
      <c r="J33" s="477">
        <f ca="1">'Debt &amp; Equity'!M64+Projections!K131</f>
        <v>-21.957853690411142</v>
      </c>
      <c r="K33" s="477">
        <f ca="1">'Debt &amp; Equity'!N64+Projections!L131</f>
        <v>-21.628993032343118</v>
      </c>
      <c r="L33" s="477">
        <f ca="1">'Debt &amp; Equity'!O64+Projections!M131</f>
        <v>-5.363019115723402</v>
      </c>
      <c r="M33" s="477">
        <f ca="1">'Debt &amp; Equity'!P64+Projections!N131</f>
        <v>-11.036790962124432</v>
      </c>
      <c r="N33" s="477">
        <f ca="1">'Debt &amp; Equity'!Q64+Projections!O131</f>
        <v>-16.543774661507591</v>
      </c>
      <c r="O33" s="468"/>
    </row>
    <row r="34" spans="2:16">
      <c r="B34" s="468"/>
      <c r="C34" s="498" t="s">
        <v>174</v>
      </c>
      <c r="D34" s="468"/>
      <c r="E34" s="476">
        <v>7.6999999999999999E-2</v>
      </c>
      <c r="F34" s="476">
        <v>14.436</v>
      </c>
      <c r="G34" s="476">
        <v>11.250999999999999</v>
      </c>
      <c r="H34" s="476">
        <v>-16.792000000000002</v>
      </c>
      <c r="I34" s="476">
        <v>-584.73400000000004</v>
      </c>
      <c r="J34" s="477">
        <f>Projections!K52</f>
        <v>0</v>
      </c>
      <c r="K34" s="477">
        <f>Projections!L52</f>
        <v>0</v>
      </c>
      <c r="L34" s="477">
        <f>Projections!M52</f>
        <v>0</v>
      </c>
      <c r="M34" s="477">
        <f>Projections!N52</f>
        <v>0</v>
      </c>
      <c r="N34" s="477">
        <f>Projections!O52</f>
        <v>0</v>
      </c>
      <c r="O34" s="468"/>
    </row>
    <row r="35" spans="2:16" ht="17">
      <c r="B35" s="468"/>
      <c r="C35" s="498" t="s">
        <v>175</v>
      </c>
      <c r="D35" s="468"/>
      <c r="E35" s="476" t="s">
        <v>143</v>
      </c>
      <c r="F35" s="476">
        <v>-0.1</v>
      </c>
      <c r="G35" s="476">
        <v>-6.8</v>
      </c>
      <c r="H35" s="476">
        <v>-7.2</v>
      </c>
      <c r="I35" s="476">
        <v>-9.1</v>
      </c>
      <c r="J35" s="477">
        <f>Projections!K55</f>
        <v>0</v>
      </c>
      <c r="K35" s="477">
        <f>Projections!L55</f>
        <v>0</v>
      </c>
      <c r="L35" s="477">
        <f>Projections!M55</f>
        <v>0</v>
      </c>
      <c r="M35" s="477">
        <f>Projections!N55</f>
        <v>0</v>
      </c>
      <c r="N35" s="477">
        <f>Projections!O55</f>
        <v>0</v>
      </c>
      <c r="O35" s="468"/>
    </row>
    <row r="36" spans="2:16">
      <c r="B36" s="468"/>
      <c r="C36" s="498" t="s">
        <v>176</v>
      </c>
      <c r="D36" s="468"/>
      <c r="E36" s="476">
        <v>-9.4819999999999993</v>
      </c>
      <c r="F36" s="476">
        <v>-29.094999999999999</v>
      </c>
      <c r="G36" s="476">
        <v>-0.94199999999999995</v>
      </c>
      <c r="H36" s="476">
        <v>-3.51</v>
      </c>
      <c r="I36" s="476">
        <v>102.301</v>
      </c>
      <c r="J36" s="477">
        <f>Projections!K58</f>
        <v>0</v>
      </c>
      <c r="K36" s="477">
        <f>Projections!L58</f>
        <v>0</v>
      </c>
      <c r="L36" s="477">
        <f>Projections!M58</f>
        <v>0</v>
      </c>
      <c r="M36" s="477">
        <f>Projections!N58</f>
        <v>0</v>
      </c>
      <c r="N36" s="477">
        <f>Projections!O58</f>
        <v>0</v>
      </c>
      <c r="O36" s="468"/>
    </row>
    <row r="37" spans="2:16">
      <c r="B37" s="468"/>
      <c r="C37" s="479" t="s">
        <v>177</v>
      </c>
      <c r="D37" s="480"/>
      <c r="E37" s="481">
        <f t="shared" ref="E37:N37" si="10">SUM(E26,E33:E36)</f>
        <v>-70.643000000000001</v>
      </c>
      <c r="F37" s="481">
        <f t="shared" si="10"/>
        <v>-124.26599999999999</v>
      </c>
      <c r="G37" s="481">
        <f t="shared" si="10"/>
        <v>-229.71599999999998</v>
      </c>
      <c r="H37" s="481">
        <f t="shared" si="10"/>
        <v>-229.51599999999999</v>
      </c>
      <c r="I37" s="481">
        <f t="shared" si="10"/>
        <v>-685.81600000000003</v>
      </c>
      <c r="J37" s="481">
        <f ca="1">SUM(J26,J33:J36)</f>
        <v>-39.452179690411143</v>
      </c>
      <c r="K37" s="481">
        <f t="shared" ca="1" si="10"/>
        <v>9.1605308865289032</v>
      </c>
      <c r="L37" s="481">
        <f t="shared" ca="1" si="10"/>
        <v>290.05615426635006</v>
      </c>
      <c r="M37" s="481">
        <f t="shared" ca="1" si="10"/>
        <v>712.15713812029946</v>
      </c>
      <c r="N37" s="481">
        <f t="shared" ca="1" si="10"/>
        <v>1153.5639630021938</v>
      </c>
      <c r="O37" s="468"/>
    </row>
    <row r="38" spans="2:16">
      <c r="B38" s="468"/>
      <c r="C38" s="498" t="s">
        <v>178</v>
      </c>
      <c r="D38" s="468"/>
      <c r="E38" s="488">
        <v>0</v>
      </c>
      <c r="F38" s="488">
        <v>0</v>
      </c>
      <c r="G38" s="488">
        <v>5.0999999999999997E-2</v>
      </c>
      <c r="H38" s="488">
        <v>3.1E-2</v>
      </c>
      <c r="I38" s="488">
        <v>2.1000000000000001E-2</v>
      </c>
      <c r="J38" s="477">
        <f ca="1">Projections!K65</f>
        <v>1.208043809853713E-3</v>
      </c>
      <c r="K38" s="477">
        <f ca="1">Projections!L65</f>
        <v>-2.8049965095172316E-4</v>
      </c>
      <c r="L38" s="477">
        <f ca="1">Projections!M65</f>
        <v>-8.8816522793188721E-3</v>
      </c>
      <c r="M38" s="477">
        <f ca="1">Projections!N65</f>
        <v>-2.1806577712573477E-2</v>
      </c>
      <c r="N38" s="477">
        <f ca="1">Projections!O65</f>
        <v>-3.5322656839510996E-2</v>
      </c>
      <c r="O38" s="468"/>
    </row>
    <row r="39" spans="2:16">
      <c r="B39" s="468"/>
      <c r="C39" s="498" t="s">
        <v>179</v>
      </c>
      <c r="D39" s="468"/>
      <c r="E39" s="476"/>
      <c r="F39" s="476"/>
      <c r="G39" s="476"/>
      <c r="H39" s="476"/>
      <c r="I39" s="476"/>
      <c r="J39" s="477">
        <f>Projections!K68</f>
        <v>0</v>
      </c>
      <c r="K39" s="477">
        <f>Projections!L68</f>
        <v>0</v>
      </c>
      <c r="L39" s="477">
        <f>Projections!M68</f>
        <v>0</v>
      </c>
      <c r="M39" s="477">
        <f>Projections!N68</f>
        <v>0</v>
      </c>
      <c r="N39" s="477">
        <f>Projections!O68</f>
        <v>0</v>
      </c>
      <c r="O39" s="468"/>
    </row>
    <row r="40" spans="2:16">
      <c r="B40" s="468"/>
      <c r="C40" s="501" t="s">
        <v>44</v>
      </c>
      <c r="D40" s="502"/>
      <c r="E40" s="503">
        <f t="shared" ref="E40:N40" si="11">E37-E38+E39</f>
        <v>-70.643000000000001</v>
      </c>
      <c r="F40" s="503">
        <f t="shared" si="11"/>
        <v>-124.26599999999999</v>
      </c>
      <c r="G40" s="503">
        <f t="shared" si="11"/>
        <v>-229.76699999999997</v>
      </c>
      <c r="H40" s="503">
        <f t="shared" si="11"/>
        <v>-229.547</v>
      </c>
      <c r="I40" s="503">
        <f t="shared" si="11"/>
        <v>-685.83699999999999</v>
      </c>
      <c r="J40" s="503">
        <f t="shared" ca="1" si="11"/>
        <v>-39.453387734220996</v>
      </c>
      <c r="K40" s="503">
        <f t="shared" ca="1" si="11"/>
        <v>9.160811386179855</v>
      </c>
      <c r="L40" s="503">
        <f t="shared" ca="1" si="11"/>
        <v>290.06503591862941</v>
      </c>
      <c r="M40" s="503">
        <f t="shared" ca="1" si="11"/>
        <v>712.17894469801206</v>
      </c>
      <c r="N40" s="503">
        <f t="shared" ca="1" si="11"/>
        <v>1153.5992856590333</v>
      </c>
      <c r="O40" s="468"/>
    </row>
    <row r="41" spans="2:16">
      <c r="B41" s="468"/>
      <c r="C41" s="468" t="s">
        <v>164</v>
      </c>
      <c r="D41" s="468"/>
      <c r="E41" s="504"/>
      <c r="F41" s="504"/>
      <c r="G41" s="504"/>
      <c r="H41" s="504"/>
      <c r="I41" s="504"/>
      <c r="J41" s="504"/>
      <c r="K41" s="504"/>
      <c r="L41" s="504"/>
      <c r="M41" s="504"/>
      <c r="N41" s="504"/>
      <c r="O41" s="468"/>
    </row>
    <row r="42" spans="2:16">
      <c r="B42" s="468"/>
      <c r="C42" s="468"/>
      <c r="D42" s="468"/>
      <c r="E42" s="468"/>
      <c r="F42" s="468"/>
      <c r="G42" s="468"/>
      <c r="H42" s="468"/>
      <c r="I42" s="468"/>
      <c r="J42" s="468"/>
      <c r="K42" s="468"/>
      <c r="L42" s="468"/>
      <c r="M42" s="468"/>
      <c r="N42" s="468"/>
      <c r="O42" s="468"/>
    </row>
    <row r="43" spans="2:16">
      <c r="B43" s="472" t="s">
        <v>64</v>
      </c>
      <c r="C43" s="473"/>
      <c r="D43" s="474"/>
      <c r="E43" s="474"/>
      <c r="F43" s="474"/>
      <c r="G43" s="474"/>
      <c r="H43" s="474"/>
      <c r="I43" s="474"/>
      <c r="J43" s="474"/>
      <c r="K43" s="474"/>
      <c r="L43" s="474"/>
      <c r="M43" s="474"/>
      <c r="N43" s="474"/>
      <c r="O43" s="468"/>
    </row>
    <row r="44" spans="2:16">
      <c r="B44" s="468"/>
      <c r="C44" s="474" t="s">
        <v>45</v>
      </c>
      <c r="D44" s="474"/>
      <c r="E44" s="474" t="s">
        <v>149</v>
      </c>
      <c r="F44" s="474" t="s">
        <v>150</v>
      </c>
      <c r="G44" s="474" t="s">
        <v>151</v>
      </c>
      <c r="H44" s="474" t="s">
        <v>152</v>
      </c>
      <c r="I44" s="474" t="s">
        <v>153</v>
      </c>
      <c r="J44" s="474" t="s">
        <v>154</v>
      </c>
      <c r="K44" s="474" t="s">
        <v>155</v>
      </c>
      <c r="L44" s="474" t="s">
        <v>156</v>
      </c>
      <c r="M44" s="474" t="s">
        <v>157</v>
      </c>
      <c r="N44" s="474" t="s">
        <v>158</v>
      </c>
      <c r="O44" s="468"/>
    </row>
    <row r="45" spans="2:16">
      <c r="B45" s="468"/>
      <c r="C45" s="468"/>
      <c r="D45" s="468"/>
      <c r="E45" s="468"/>
      <c r="F45" s="468"/>
      <c r="G45" s="468"/>
      <c r="H45" s="468"/>
      <c r="I45" s="468"/>
      <c r="J45" s="468"/>
      <c r="K45" s="468"/>
      <c r="L45" s="468"/>
      <c r="M45" s="468"/>
      <c r="N45" s="468"/>
      <c r="O45" s="468"/>
    </row>
    <row r="46" spans="2:16">
      <c r="B46" s="468"/>
      <c r="C46" s="486" t="s">
        <v>180</v>
      </c>
      <c r="D46" s="505"/>
      <c r="E46" s="505"/>
      <c r="F46" s="505"/>
      <c r="G46" s="505"/>
      <c r="H46" s="505"/>
      <c r="I46" s="505"/>
      <c r="J46" s="505"/>
      <c r="K46" s="505"/>
      <c r="L46" s="505"/>
      <c r="M46" s="505"/>
      <c r="N46" s="505"/>
      <c r="O46" s="468"/>
    </row>
    <row r="47" spans="2:16">
      <c r="B47" s="468"/>
      <c r="C47" s="506" t="s">
        <v>181</v>
      </c>
      <c r="D47" s="468"/>
      <c r="E47" s="507"/>
      <c r="F47" s="507"/>
      <c r="G47" s="507"/>
      <c r="H47" s="507"/>
      <c r="I47" s="507"/>
      <c r="J47" s="508"/>
      <c r="K47" s="508"/>
      <c r="L47" s="508"/>
      <c r="M47" s="508"/>
      <c r="N47" s="508"/>
      <c r="O47" s="468"/>
    </row>
    <row r="48" spans="2:16">
      <c r="B48" s="468"/>
      <c r="C48" s="475" t="s">
        <v>182</v>
      </c>
      <c r="D48" s="468"/>
      <c r="E48" s="490">
        <v>121.85299999999999</v>
      </c>
      <c r="F48" s="490">
        <v>104.831</v>
      </c>
      <c r="G48" s="490">
        <v>17.076000000000001</v>
      </c>
      <c r="H48" s="490">
        <v>69.472999999999999</v>
      </c>
      <c r="I48" s="490">
        <v>74.292000000000002</v>
      </c>
      <c r="J48" s="509">
        <f ca="1">J147</f>
        <v>32.036765498633912</v>
      </c>
      <c r="K48" s="509">
        <f ca="1">K147</f>
        <v>813.55452263172697</v>
      </c>
      <c r="L48" s="509">
        <f ca="1">L147</f>
        <v>3188.6990187586853</v>
      </c>
      <c r="M48" s="509">
        <f ca="1">M147</f>
        <v>6100.6288754768575</v>
      </c>
      <c r="N48" s="509">
        <f ca="1">N147</f>
        <v>9155.6913877943825</v>
      </c>
      <c r="O48" s="468"/>
      <c r="P48" s="510"/>
    </row>
    <row r="49" spans="2:24">
      <c r="B49" s="468"/>
      <c r="C49" s="498" t="s">
        <v>183</v>
      </c>
      <c r="D49" s="468"/>
      <c r="E49" s="490">
        <v>0</v>
      </c>
      <c r="F49" s="490">
        <v>0.86099999999999999</v>
      </c>
      <c r="G49" s="490">
        <v>2.7250000000000001</v>
      </c>
      <c r="H49" s="490">
        <v>3.4390000000000001</v>
      </c>
      <c r="I49" s="490">
        <v>14.07</v>
      </c>
      <c r="J49" s="477">
        <f>Projections!K190</f>
        <v>0</v>
      </c>
      <c r="K49" s="477">
        <f>Projections!L190</f>
        <v>0</v>
      </c>
      <c r="L49" s="477">
        <f>Projections!M190</f>
        <v>0</v>
      </c>
      <c r="M49" s="477">
        <f>Projections!N190</f>
        <v>0</v>
      </c>
      <c r="N49" s="477">
        <f>Projections!O190</f>
        <v>0</v>
      </c>
      <c r="O49" s="468"/>
      <c r="P49" s="511"/>
    </row>
    <row r="50" spans="2:24">
      <c r="B50" s="468"/>
      <c r="C50" s="498" t="s">
        <v>184</v>
      </c>
      <c r="D50" s="468"/>
      <c r="E50" s="490">
        <v>0</v>
      </c>
      <c r="F50" s="490">
        <v>3.2850000000000001</v>
      </c>
      <c r="G50" s="490">
        <v>3.5249999999999999</v>
      </c>
      <c r="H50" s="490">
        <v>9.7729999999999997</v>
      </c>
      <c r="I50" s="490">
        <v>16.134</v>
      </c>
      <c r="J50" s="477">
        <f>Projections!K79</f>
        <v>34.404987251729523</v>
      </c>
      <c r="K50" s="477">
        <f>Projections!L79</f>
        <v>151.37953555850225</v>
      </c>
      <c r="L50" s="477">
        <f>Projections!M79</f>
        <v>322.76791706086459</v>
      </c>
      <c r="M50" s="477">
        <f>Projections!N79</f>
        <v>443.24184971682649</v>
      </c>
      <c r="N50" s="477">
        <f>Projections!O79</f>
        <v>500.25588417576461</v>
      </c>
      <c r="O50" s="468"/>
      <c r="P50" s="511"/>
    </row>
    <row r="51" spans="2:24">
      <c r="B51" s="468"/>
      <c r="C51" s="498" t="s">
        <v>185</v>
      </c>
      <c r="D51" s="468"/>
      <c r="E51" s="490">
        <v>0.432</v>
      </c>
      <c r="F51" s="490">
        <v>1.02</v>
      </c>
      <c r="G51" s="490">
        <v>0.26300000000000001</v>
      </c>
      <c r="H51" s="490">
        <v>10.756</v>
      </c>
      <c r="I51" s="490">
        <v>2.2829999999999999</v>
      </c>
      <c r="J51" s="477">
        <f>Projections!K83</f>
        <v>2.5669536587815225</v>
      </c>
      <c r="K51" s="477">
        <f>Projections!L83</f>
        <v>11.294416411882581</v>
      </c>
      <c r="L51" s="477">
        <f>Projections!M83</f>
        <v>24.081691400569476</v>
      </c>
      <c r="M51" s="477">
        <f>Projections!N83</f>
        <v>33.070242971780246</v>
      </c>
      <c r="N51" s="477">
        <f>Projections!O83</f>
        <v>37.324056039213083</v>
      </c>
      <c r="O51" s="468"/>
      <c r="P51" s="511"/>
    </row>
    <row r="52" spans="2:24">
      <c r="B52" s="468"/>
      <c r="C52" s="498" t="s">
        <v>186</v>
      </c>
      <c r="D52" s="468"/>
      <c r="E52" s="490">
        <v>0</v>
      </c>
      <c r="F52" s="490">
        <v>0.10299999999999999</v>
      </c>
      <c r="G52" s="490">
        <v>0</v>
      </c>
      <c r="H52" s="490">
        <v>0</v>
      </c>
      <c r="I52" s="490">
        <v>21.731000000000002</v>
      </c>
      <c r="J52" s="477">
        <f>Projections!K87</f>
        <v>58.649522949118506</v>
      </c>
      <c r="K52" s="477">
        <f>Projections!L87</f>
        <v>258.05379550951494</v>
      </c>
      <c r="L52" s="477">
        <f>Projections!M87</f>
        <v>550.21628755141433</v>
      </c>
      <c r="M52" s="477">
        <f>Projections!N87</f>
        <v>755.58589360238591</v>
      </c>
      <c r="N52" s="477">
        <f>Projections!O87</f>
        <v>852.77662638643119</v>
      </c>
      <c r="O52" s="468"/>
      <c r="P52" s="511"/>
    </row>
    <row r="53" spans="2:24">
      <c r="B53" s="468"/>
      <c r="C53" s="498" t="s">
        <v>187</v>
      </c>
      <c r="D53" s="468"/>
      <c r="E53" s="490">
        <v>0.214</v>
      </c>
      <c r="F53" s="490">
        <v>12.976000000000001</v>
      </c>
      <c r="G53" s="490">
        <v>23.26</v>
      </c>
      <c r="H53" s="490">
        <v>17.07</v>
      </c>
      <c r="I53" s="490">
        <v>32.826000000000001</v>
      </c>
      <c r="J53" s="477">
        <f>Projections!K75</f>
        <v>4.0886288378638191</v>
      </c>
      <c r="K53" s="477">
        <f>Projections!L75</f>
        <v>17.240110654141226</v>
      </c>
      <c r="L53" s="477">
        <f>Projections!M75</f>
        <v>35.160746327616195</v>
      </c>
      <c r="M53" s="477">
        <f>Projections!N75</f>
        <v>46.089829104879676</v>
      </c>
      <c r="N53" s="477">
        <f>Projections!O75</f>
        <v>49.541282571111211</v>
      </c>
      <c r="O53" s="468"/>
      <c r="P53" s="511"/>
    </row>
    <row r="54" spans="2:24">
      <c r="B54" s="468"/>
      <c r="C54" s="498" t="s">
        <v>188</v>
      </c>
      <c r="D54" s="468"/>
      <c r="E54" s="490">
        <v>2.274</v>
      </c>
      <c r="F54" s="490">
        <v>2.5950000000000002</v>
      </c>
      <c r="G54" s="490">
        <v>2.2890000000000001</v>
      </c>
      <c r="H54" s="490">
        <v>1.0820000000000001</v>
      </c>
      <c r="I54" s="490">
        <v>0.93799999999999994</v>
      </c>
      <c r="J54" s="477">
        <f>Projections!K91</f>
        <v>10.51498</v>
      </c>
      <c r="K54" s="477">
        <f>Projections!L91</f>
        <v>46.265175951399989</v>
      </c>
      <c r="L54" s="477">
        <f>Projections!M91</f>
        <v>98.645529722323616</v>
      </c>
      <c r="M54" s="477">
        <f>Projections!N91</f>
        <v>135.83635810732119</v>
      </c>
      <c r="N54" s="477">
        <f>Projections!O91</f>
        <v>152.89006150484926</v>
      </c>
      <c r="O54" s="468"/>
      <c r="P54" s="511"/>
    </row>
    <row r="55" spans="2:24">
      <c r="B55" s="468"/>
      <c r="C55" s="498" t="s">
        <v>189</v>
      </c>
      <c r="D55" s="468"/>
      <c r="E55" s="490">
        <v>2.5939999999999999</v>
      </c>
      <c r="F55" s="490">
        <v>16.901</v>
      </c>
      <c r="G55" s="490">
        <v>6.0090000000000003</v>
      </c>
      <c r="H55" s="490">
        <v>10.738</v>
      </c>
      <c r="I55" s="490">
        <v>17.638000000000002</v>
      </c>
      <c r="J55" s="477">
        <f>Projections!K193</f>
        <v>58.649522949118506</v>
      </c>
      <c r="K55" s="477">
        <f>Projections!L193</f>
        <v>258.05379550951494</v>
      </c>
      <c r="L55" s="477">
        <f>Projections!M193</f>
        <v>550.21628755141433</v>
      </c>
      <c r="M55" s="477">
        <f>Projections!N193</f>
        <v>757.65599194102253</v>
      </c>
      <c r="N55" s="477">
        <f>Projections!O193</f>
        <v>852.77662638643119</v>
      </c>
      <c r="O55" s="468"/>
      <c r="P55" s="511"/>
    </row>
    <row r="56" spans="2:24">
      <c r="B56" s="512" t="s">
        <v>64</v>
      </c>
      <c r="C56" s="479" t="s">
        <v>190</v>
      </c>
      <c r="D56" s="479"/>
      <c r="E56" s="481">
        <f t="shared" ref="E56:N56" si="12">SUM(E48:E55)</f>
        <v>127.36699999999999</v>
      </c>
      <c r="F56" s="481">
        <f t="shared" si="12"/>
        <v>142.572</v>
      </c>
      <c r="G56" s="481">
        <f t="shared" si="12"/>
        <v>55.147000000000006</v>
      </c>
      <c r="H56" s="481">
        <f t="shared" si="12"/>
        <v>122.33099999999999</v>
      </c>
      <c r="I56" s="481">
        <f t="shared" si="12"/>
        <v>179.91199999999998</v>
      </c>
      <c r="J56" s="481">
        <f t="shared" ca="1" si="12"/>
        <v>200.91136114524579</v>
      </c>
      <c r="K56" s="481">
        <f t="shared" ca="1" si="12"/>
        <v>1555.8413522266828</v>
      </c>
      <c r="L56" s="481">
        <f t="shared" ca="1" si="12"/>
        <v>4769.7874783728876</v>
      </c>
      <c r="M56" s="481">
        <f t="shared" ca="1" si="12"/>
        <v>8272.1090409210738</v>
      </c>
      <c r="N56" s="481">
        <f t="shared" ca="1" si="12"/>
        <v>11601.255924858184</v>
      </c>
      <c r="O56" s="468"/>
      <c r="P56" s="511"/>
    </row>
    <row r="57" spans="2:24">
      <c r="B57" s="468"/>
      <c r="C57" s="468"/>
      <c r="D57" s="468"/>
      <c r="E57" s="468"/>
      <c r="F57" s="468"/>
      <c r="G57" s="468"/>
      <c r="H57" s="468"/>
      <c r="I57" s="468"/>
      <c r="J57" s="513"/>
      <c r="K57" s="468"/>
      <c r="L57" s="468"/>
      <c r="M57" s="468"/>
      <c r="N57" s="468"/>
      <c r="O57" s="468"/>
      <c r="P57" s="511"/>
    </row>
    <row r="58" spans="2:24">
      <c r="B58" s="468"/>
      <c r="C58" s="506" t="s">
        <v>191</v>
      </c>
      <c r="D58" s="468"/>
      <c r="E58" s="507"/>
      <c r="F58" s="507"/>
      <c r="G58" s="507"/>
      <c r="H58" s="507"/>
      <c r="I58" s="507"/>
      <c r="J58" s="468"/>
      <c r="K58" s="468"/>
      <c r="L58" s="468"/>
      <c r="M58" s="468"/>
      <c r="N58" s="468"/>
      <c r="O58" s="468"/>
      <c r="P58" s="511"/>
    </row>
    <row r="59" spans="2:24">
      <c r="B59" s="468"/>
      <c r="C59" s="514" t="s">
        <v>192</v>
      </c>
      <c r="D59" s="468"/>
      <c r="E59" s="476">
        <v>5.6529999999999996</v>
      </c>
      <c r="F59" s="476">
        <v>16.358000000000001</v>
      </c>
      <c r="G59" s="476">
        <v>31.484999999999999</v>
      </c>
      <c r="H59" s="476">
        <v>41.887999999999998</v>
      </c>
      <c r="I59" s="476">
        <v>48.569000000000003</v>
      </c>
      <c r="J59" s="515">
        <f ca="1">PPE!M10</f>
        <v>68.435749625151374</v>
      </c>
      <c r="K59" s="515">
        <f ca="1">PPE!N10</f>
        <v>127.50238616177896</v>
      </c>
      <c r="L59" s="515">
        <f ca="1">PPE!O10</f>
        <v>244.54775841460614</v>
      </c>
      <c r="M59" s="515">
        <f ca="1">PPE!P10</f>
        <v>460.98096653144972</v>
      </c>
      <c r="N59" s="515">
        <f ca="1">PPE!Q10</f>
        <v>861.03025288709591</v>
      </c>
      <c r="O59" s="468"/>
      <c r="P59" s="511"/>
      <c r="R59" s="516"/>
    </row>
    <row r="60" spans="2:24">
      <c r="B60" s="468"/>
      <c r="C60" s="498" t="s">
        <v>193</v>
      </c>
      <c r="D60" s="468"/>
      <c r="E60" s="476">
        <v>3.7360000000000002</v>
      </c>
      <c r="F60" s="476">
        <v>0</v>
      </c>
      <c r="G60" s="476">
        <v>0</v>
      </c>
      <c r="H60" s="476">
        <v>0</v>
      </c>
      <c r="I60" s="476">
        <v>0</v>
      </c>
      <c r="J60" s="477">
        <f>Projections!K198</f>
        <v>0</v>
      </c>
      <c r="K60" s="477">
        <f>Projections!L198</f>
        <v>0</v>
      </c>
      <c r="L60" s="477">
        <f>Projections!M198</f>
        <v>0</v>
      </c>
      <c r="M60" s="477">
        <f>Projections!N198</f>
        <v>0</v>
      </c>
      <c r="N60" s="477">
        <f>Projections!O198</f>
        <v>0</v>
      </c>
      <c r="O60" s="468"/>
      <c r="P60" s="511"/>
      <c r="R60" s="516"/>
      <c r="X60" s="510"/>
    </row>
    <row r="61" spans="2:24">
      <c r="B61" s="468"/>
      <c r="C61" s="498" t="s">
        <v>194</v>
      </c>
      <c r="D61" s="468"/>
      <c r="E61" s="476">
        <v>0</v>
      </c>
      <c r="F61" s="476">
        <v>4.3310000000000004</v>
      </c>
      <c r="G61" s="476">
        <v>4.3310000000000004</v>
      </c>
      <c r="H61" s="476">
        <v>4.3310000000000004</v>
      </c>
      <c r="I61" s="476">
        <v>4.3310000000000004</v>
      </c>
      <c r="J61" s="517">
        <f>I61</f>
        <v>4.3310000000000004</v>
      </c>
      <c r="K61" s="517">
        <f t="shared" ref="K61:N61" si="13">J61</f>
        <v>4.3310000000000004</v>
      </c>
      <c r="L61" s="517">
        <f t="shared" si="13"/>
        <v>4.3310000000000004</v>
      </c>
      <c r="M61" s="517">
        <f t="shared" si="13"/>
        <v>4.3310000000000004</v>
      </c>
      <c r="N61" s="517">
        <f t="shared" si="13"/>
        <v>4.3310000000000004</v>
      </c>
      <c r="O61" s="468"/>
      <c r="P61" s="511"/>
    </row>
    <row r="62" spans="2:24">
      <c r="B62" s="468"/>
      <c r="C62" s="498" t="s">
        <v>195</v>
      </c>
      <c r="D62" s="468"/>
      <c r="E62" s="476">
        <v>0.32</v>
      </c>
      <c r="F62" s="476">
        <v>0.28000000000000003</v>
      </c>
      <c r="G62" s="476">
        <v>0.24</v>
      </c>
      <c r="H62" s="476">
        <v>0.29499999999999998</v>
      </c>
      <c r="I62" s="476">
        <v>0.24</v>
      </c>
      <c r="J62" s="515">
        <f>Intangibles!M10</f>
        <v>0.84480468213457072</v>
      </c>
      <c r="K62" s="515">
        <f>Intangibles!N10</f>
        <v>1.99598719946498</v>
      </c>
      <c r="L62" s="515">
        <f>Intangibles!O10</f>
        <v>4.0376442301613631</v>
      </c>
      <c r="M62" s="515">
        <f>Intangibles!P10</f>
        <v>5.9273358934498939</v>
      </c>
      <c r="N62" s="515">
        <f>Intangibles!Q10</f>
        <v>6.9727053148328295</v>
      </c>
      <c r="O62" s="468"/>
      <c r="P62" s="511"/>
    </row>
    <row r="63" spans="2:24">
      <c r="B63" s="468"/>
      <c r="C63" s="498" t="s">
        <v>196</v>
      </c>
      <c r="D63" s="468"/>
      <c r="E63" s="476">
        <v>0.1</v>
      </c>
      <c r="F63" s="476">
        <v>3.8940000000000001</v>
      </c>
      <c r="G63" s="476">
        <v>1.6120000000000001</v>
      </c>
      <c r="H63" s="476">
        <v>1.9359999999999999</v>
      </c>
      <c r="I63" s="476">
        <v>0.96299999999999997</v>
      </c>
      <c r="J63" s="515">
        <f>Projections!K204</f>
        <v>0</v>
      </c>
      <c r="K63" s="515">
        <f>Projections!L204</f>
        <v>0</v>
      </c>
      <c r="L63" s="515">
        <f>Projections!M204</f>
        <v>0</v>
      </c>
      <c r="M63" s="515">
        <f>Projections!N204</f>
        <v>0</v>
      </c>
      <c r="N63" s="515">
        <f>Projections!O204</f>
        <v>0</v>
      </c>
      <c r="O63" s="468"/>
      <c r="P63" s="511"/>
    </row>
    <row r="64" spans="2:24">
      <c r="B64" s="468"/>
      <c r="C64" s="498" t="s">
        <v>197</v>
      </c>
      <c r="D64" s="468"/>
      <c r="E64" s="476">
        <v>1.0880000000000001</v>
      </c>
      <c r="F64" s="476">
        <v>1.74</v>
      </c>
      <c r="G64" s="476">
        <v>13.973000000000001</v>
      </c>
      <c r="H64" s="476">
        <v>15.711</v>
      </c>
      <c r="I64" s="476">
        <v>26.303000000000001</v>
      </c>
      <c r="J64" s="515">
        <f>Projections!K207</f>
        <v>66.202973553719019</v>
      </c>
      <c r="K64" s="515">
        <f>Projections!L207</f>
        <v>291.28844942821485</v>
      </c>
      <c r="L64" s="515">
        <f>Projections!M207</f>
        <v>621.07844193708343</v>
      </c>
      <c r="M64" s="515">
        <f>Projections!N207</f>
        <v>855.2342299664374</v>
      </c>
      <c r="N64" s="515">
        <f>Projections!O207</f>
        <v>962.60541612366444</v>
      </c>
      <c r="O64" s="468"/>
      <c r="P64" s="511"/>
    </row>
    <row r="65" spans="2:16">
      <c r="B65" s="468"/>
      <c r="C65" s="479" t="s">
        <v>198</v>
      </c>
      <c r="D65" s="479"/>
      <c r="E65" s="481">
        <f t="shared" ref="E65:N65" si="14">SUM(E59:E64)</f>
        <v>10.896999999999998</v>
      </c>
      <c r="F65" s="481">
        <f t="shared" si="14"/>
        <v>26.602999999999998</v>
      </c>
      <c r="G65" s="481">
        <f t="shared" si="14"/>
        <v>51.641000000000005</v>
      </c>
      <c r="H65" s="481">
        <f t="shared" si="14"/>
        <v>64.161000000000001</v>
      </c>
      <c r="I65" s="481">
        <f t="shared" si="14"/>
        <v>80.406000000000006</v>
      </c>
      <c r="J65" s="481">
        <f t="shared" ca="1" si="14"/>
        <v>139.81452786100496</v>
      </c>
      <c r="K65" s="481">
        <f t="shared" ca="1" si="14"/>
        <v>425.11782278945878</v>
      </c>
      <c r="L65" s="481">
        <f t="shared" ca="1" si="14"/>
        <v>873.99484458185088</v>
      </c>
      <c r="M65" s="481">
        <f t="shared" ca="1" si="14"/>
        <v>1326.4735323913369</v>
      </c>
      <c r="N65" s="481">
        <f t="shared" ca="1" si="14"/>
        <v>1834.9393743255932</v>
      </c>
      <c r="O65" s="468"/>
      <c r="P65" s="511"/>
    </row>
    <row r="66" spans="2:16" ht="17" thickBot="1">
      <c r="B66" s="468"/>
      <c r="C66" s="468"/>
      <c r="D66" s="468"/>
      <c r="E66" s="468"/>
      <c r="F66" s="468"/>
      <c r="G66" s="468"/>
      <c r="H66" s="468"/>
      <c r="I66" s="468"/>
      <c r="J66" s="468"/>
      <c r="K66" s="468"/>
      <c r="L66" s="468"/>
      <c r="M66" s="468"/>
      <c r="N66" s="468"/>
      <c r="O66" s="468"/>
      <c r="P66" s="511"/>
    </row>
    <row r="67" spans="2:16" ht="17" thickBot="1">
      <c r="B67" s="512" t="s">
        <v>64</v>
      </c>
      <c r="C67" s="518" t="s">
        <v>199</v>
      </c>
      <c r="D67" s="519"/>
      <c r="E67" s="520">
        <f t="shared" ref="E67:N67" si="15">SUM(E65,E56)</f>
        <v>138.26399999999998</v>
      </c>
      <c r="F67" s="520">
        <f t="shared" si="15"/>
        <v>169.17500000000001</v>
      </c>
      <c r="G67" s="520">
        <f t="shared" si="15"/>
        <v>106.78800000000001</v>
      </c>
      <c r="H67" s="520">
        <f t="shared" si="15"/>
        <v>186.49199999999999</v>
      </c>
      <c r="I67" s="520">
        <f t="shared" si="15"/>
        <v>260.31799999999998</v>
      </c>
      <c r="J67" s="520">
        <f t="shared" ca="1" si="15"/>
        <v>340.72588900625078</v>
      </c>
      <c r="K67" s="520">
        <f t="shared" ca="1" si="15"/>
        <v>1980.9591750161417</v>
      </c>
      <c r="L67" s="520">
        <f t="shared" ca="1" si="15"/>
        <v>5643.7823229547384</v>
      </c>
      <c r="M67" s="520">
        <f t="shared" ca="1" si="15"/>
        <v>9598.5825733124111</v>
      </c>
      <c r="N67" s="520">
        <f t="shared" ca="1" si="15"/>
        <v>13436.195299183777</v>
      </c>
      <c r="O67" s="468"/>
      <c r="P67" s="511"/>
    </row>
    <row r="68" spans="2:16">
      <c r="B68" s="468"/>
      <c r="C68" s="468"/>
      <c r="D68" s="468"/>
      <c r="E68" s="468"/>
      <c r="F68" s="468"/>
      <c r="G68" s="468"/>
      <c r="H68" s="468"/>
      <c r="I68" s="468"/>
      <c r="J68" s="468"/>
      <c r="K68" s="468"/>
      <c r="L68" s="468"/>
      <c r="M68" s="468"/>
      <c r="N68" s="468"/>
      <c r="O68" s="468"/>
      <c r="P68" s="511"/>
    </row>
    <row r="69" spans="2:16">
      <c r="B69" s="468"/>
      <c r="C69" s="486" t="s">
        <v>200</v>
      </c>
      <c r="D69" s="505"/>
      <c r="E69" s="505"/>
      <c r="F69" s="505"/>
      <c r="G69" s="505"/>
      <c r="H69" s="505"/>
      <c r="I69" s="505"/>
      <c r="J69" s="505"/>
      <c r="K69" s="505"/>
      <c r="L69" s="505"/>
      <c r="M69" s="505"/>
      <c r="N69" s="505"/>
      <c r="O69" s="468"/>
      <c r="P69" s="511"/>
    </row>
    <row r="70" spans="2:16">
      <c r="B70" s="468"/>
      <c r="C70" s="506" t="s">
        <v>201</v>
      </c>
      <c r="D70" s="468"/>
      <c r="E70" s="468"/>
      <c r="F70" s="468"/>
      <c r="G70" s="468"/>
      <c r="H70" s="468"/>
      <c r="I70" s="468"/>
      <c r="J70" s="468"/>
      <c r="K70" s="468"/>
      <c r="L70" s="468"/>
      <c r="M70" s="468"/>
      <c r="N70" s="468"/>
      <c r="O70" s="468"/>
      <c r="P70" s="511"/>
    </row>
    <row r="71" spans="2:16">
      <c r="B71" s="468"/>
      <c r="C71" s="498" t="s">
        <v>202</v>
      </c>
      <c r="D71" s="468"/>
      <c r="E71" s="490">
        <v>3.3780000000000001</v>
      </c>
      <c r="F71" s="490">
        <v>13.731</v>
      </c>
      <c r="G71" s="490">
        <v>34.668999999999997</v>
      </c>
      <c r="H71" s="490">
        <v>20.54</v>
      </c>
      <c r="I71" s="490">
        <v>16.722999999999999</v>
      </c>
      <c r="J71" s="477">
        <f>Projections!K96</f>
        <v>187.9784322739726</v>
      </c>
      <c r="K71" s="477">
        <f>Projections!L96</f>
        <v>827.09194351522012</v>
      </c>
      <c r="L71" s="477">
        <f>Projections!M96</f>
        <v>1763.5061624499488</v>
      </c>
      <c r="M71" s="477">
        <f>Projections!N96</f>
        <v>2421.739250137241</v>
      </c>
      <c r="N71" s="477">
        <f>Projections!O96</f>
        <v>2733.246670174628</v>
      </c>
      <c r="O71" s="468"/>
      <c r="P71" s="511"/>
    </row>
    <row r="72" spans="2:16">
      <c r="B72" s="468"/>
      <c r="C72" s="498" t="s">
        <v>203</v>
      </c>
      <c r="D72" s="468"/>
      <c r="E72" s="490">
        <v>4.0949999999999998</v>
      </c>
      <c r="F72" s="490">
        <v>5.5620000000000003</v>
      </c>
      <c r="G72" s="490">
        <v>8.9619999999999997</v>
      </c>
      <c r="H72" s="490">
        <v>22.783999999999999</v>
      </c>
      <c r="I72" s="490">
        <v>12.206</v>
      </c>
      <c r="J72" s="477">
        <f>Projections!K100</f>
        <v>87.471630000000005</v>
      </c>
      <c r="K72" s="477">
        <f>Projections!L100</f>
        <v>384.86904898589995</v>
      </c>
      <c r="L72" s="477">
        <f>Projections!M100</f>
        <v>820.60881495020385</v>
      </c>
      <c r="M72" s="477">
        <f>Projections!N100</f>
        <v>1129.990514191287</v>
      </c>
      <c r="N72" s="477">
        <f>Projections!O100</f>
        <v>1271.8562365909795</v>
      </c>
      <c r="O72" s="468"/>
      <c r="P72" s="511"/>
    </row>
    <row r="73" spans="2:16">
      <c r="B73" s="468"/>
      <c r="C73" s="498" t="s">
        <v>204</v>
      </c>
      <c r="D73" s="468"/>
      <c r="E73" s="490">
        <v>0.92400000000000004</v>
      </c>
      <c r="F73" s="490">
        <v>6.57</v>
      </c>
      <c r="G73" s="490">
        <v>5.56</v>
      </c>
      <c r="H73" s="490">
        <v>3.3319999999999999</v>
      </c>
      <c r="I73" s="490">
        <v>2.0139999999999998</v>
      </c>
      <c r="J73" s="477">
        <f ca="1">'Debt &amp; Equity'!M11</f>
        <v>416.87314180425602</v>
      </c>
      <c r="K73" s="477">
        <f ca="1">'Debt &amp; Equity'!N11</f>
        <v>76.973809797179996</v>
      </c>
      <c r="L73" s="477">
        <f ca="1">'Debt &amp; Equity'!O11</f>
        <v>164.12176299004079</v>
      </c>
      <c r="M73" s="477">
        <f ca="1">'Debt &amp; Equity'!P11</f>
        <v>225.99810283825741</v>
      </c>
      <c r="N73" s="477">
        <f>'Debt &amp; Equity'!Q11</f>
        <v>0</v>
      </c>
      <c r="O73" s="468"/>
      <c r="P73" s="511"/>
    </row>
    <row r="74" spans="2:16">
      <c r="B74" s="468"/>
      <c r="C74" s="498" t="s">
        <v>205</v>
      </c>
      <c r="D74" s="468"/>
      <c r="E74" s="490">
        <v>0</v>
      </c>
      <c r="F74" s="490">
        <v>1.0920000000000001</v>
      </c>
      <c r="G74" s="490">
        <v>1.1379999999999999</v>
      </c>
      <c r="H74" s="490">
        <v>1.5960000000000001</v>
      </c>
      <c r="I74" s="490">
        <v>1.921</v>
      </c>
      <c r="J74" s="477">
        <f ca="1">Projections!K121</f>
        <v>2.2010836282424417</v>
      </c>
      <c r="K74" s="477">
        <f ca="1">Projections!L121</f>
        <v>4.1148128587018649</v>
      </c>
      <c r="L74" s="477">
        <f ca="1">Projections!M121</f>
        <v>7.7970011000394299</v>
      </c>
      <c r="M74" s="477">
        <f ca="1">Projections!N121</f>
        <v>14.3847424314084</v>
      </c>
      <c r="N74" s="477">
        <f ca="1">Projections!O121</f>
        <v>26.399482506728507</v>
      </c>
      <c r="O74" s="468"/>
      <c r="P74" s="511"/>
    </row>
    <row r="75" spans="2:16">
      <c r="B75" s="468"/>
      <c r="C75" s="498" t="s">
        <v>206</v>
      </c>
      <c r="D75" s="468"/>
      <c r="E75" s="490">
        <v>1.2130000000000001</v>
      </c>
      <c r="F75" s="490">
        <v>0.84899999999999998</v>
      </c>
      <c r="G75" s="490">
        <v>3.85</v>
      </c>
      <c r="H75" s="490">
        <v>3.07</v>
      </c>
      <c r="I75" s="490">
        <v>22.039000000000001</v>
      </c>
      <c r="J75" s="477">
        <f>Projections!K103</f>
        <v>32.302485371900829</v>
      </c>
      <c r="K75" s="477">
        <f>Projections!L103</f>
        <v>142.12867446238758</v>
      </c>
      <c r="L75" s="477">
        <f>Projections!M103</f>
        <v>303.04344666930103</v>
      </c>
      <c r="M75" s="477">
        <f>Projections!N103</f>
        <v>417.29532255258925</v>
      </c>
      <c r="N75" s="477">
        <f>Projections!O103</f>
        <v>469.68505648792586</v>
      </c>
      <c r="O75" s="468"/>
      <c r="P75" s="511"/>
    </row>
    <row r="76" spans="2:16">
      <c r="B76" s="468"/>
      <c r="C76" s="498" t="s">
        <v>207</v>
      </c>
      <c r="D76" s="468"/>
      <c r="E76" s="490">
        <v>3.9750000000000001</v>
      </c>
      <c r="F76" s="490">
        <v>2.113</v>
      </c>
      <c r="G76" s="490">
        <v>6.3970000000000002</v>
      </c>
      <c r="H76" s="490">
        <v>9.548</v>
      </c>
      <c r="I76" s="490">
        <v>10.071999999999999</v>
      </c>
      <c r="J76" s="477">
        <f>Projections!K106</f>
        <v>62.436511616826614</v>
      </c>
      <c r="K76" s="477">
        <f>Projections!L106</f>
        <v>274.71628055822384</v>
      </c>
      <c r="L76" s="477">
        <f>Projections!M106</f>
        <v>585.74364976974505</v>
      </c>
      <c r="M76" s="477">
        <f>Projections!N106</f>
        <v>806.57769686249321</v>
      </c>
      <c r="N76" s="477">
        <f>Projections!O106</f>
        <v>907.8402527864871</v>
      </c>
      <c r="O76" s="468"/>
      <c r="P76" s="511"/>
    </row>
    <row r="77" spans="2:16">
      <c r="B77" s="468"/>
      <c r="C77" s="521" t="s">
        <v>208</v>
      </c>
      <c r="D77" s="479"/>
      <c r="E77" s="481">
        <f t="shared" ref="E77:N77" si="16">SUM(E71:E76)</f>
        <v>13.584999999999999</v>
      </c>
      <c r="F77" s="481">
        <f t="shared" si="16"/>
        <v>29.916999999999998</v>
      </c>
      <c r="G77" s="481">
        <f t="shared" si="16"/>
        <v>60.576000000000001</v>
      </c>
      <c r="H77" s="481">
        <f t="shared" si="16"/>
        <v>60.87</v>
      </c>
      <c r="I77" s="481">
        <f t="shared" si="16"/>
        <v>64.974999999999994</v>
      </c>
      <c r="J77" s="481">
        <f t="shared" ca="1" si="16"/>
        <v>789.26328469519854</v>
      </c>
      <c r="K77" s="481">
        <f t="shared" ca="1" si="16"/>
        <v>1709.8945701776133</v>
      </c>
      <c r="L77" s="481">
        <f t="shared" ca="1" si="16"/>
        <v>3644.8208379292782</v>
      </c>
      <c r="M77" s="481">
        <f t="shared" ca="1" si="16"/>
        <v>5015.9856290132766</v>
      </c>
      <c r="N77" s="481">
        <f t="shared" ca="1" si="16"/>
        <v>5409.027698546749</v>
      </c>
      <c r="O77" s="468"/>
      <c r="P77" s="511"/>
    </row>
    <row r="78" spans="2:16">
      <c r="B78" s="468"/>
      <c r="C78" s="522"/>
      <c r="D78" s="468"/>
      <c r="E78" s="468"/>
      <c r="F78" s="468"/>
      <c r="G78" s="468"/>
      <c r="H78" s="468"/>
      <c r="I78" s="468"/>
      <c r="J78" s="468"/>
      <c r="K78" s="468"/>
      <c r="L78" s="468"/>
      <c r="M78" s="468"/>
      <c r="N78" s="468"/>
      <c r="O78" s="468"/>
      <c r="P78" s="511"/>
    </row>
    <row r="79" spans="2:16">
      <c r="B79" s="468"/>
      <c r="C79" s="506" t="s">
        <v>209</v>
      </c>
      <c r="D79" s="468"/>
      <c r="E79" s="468"/>
      <c r="F79" s="468"/>
      <c r="G79" s="468"/>
      <c r="H79" s="468"/>
      <c r="I79" s="523"/>
      <c r="J79" s="468"/>
      <c r="K79" s="468"/>
      <c r="L79" s="468"/>
      <c r="M79" s="468"/>
      <c r="N79" s="468"/>
      <c r="O79" s="468"/>
      <c r="P79" s="511"/>
    </row>
    <row r="80" spans="2:16">
      <c r="B80" s="468"/>
      <c r="C80" s="524" t="s">
        <v>210</v>
      </c>
      <c r="D80" s="468"/>
      <c r="E80" s="490">
        <v>0.42699999999999999</v>
      </c>
      <c r="F80" s="490">
        <v>102.64400000000001</v>
      </c>
      <c r="G80" s="490">
        <v>170.27099999999999</v>
      </c>
      <c r="H80" s="490">
        <v>200.52699999999999</v>
      </c>
      <c r="I80" s="490">
        <v>314.88200000000001</v>
      </c>
      <c r="J80" s="477">
        <f ca="1">'Debt &amp; Equity'!M12</f>
        <v>0</v>
      </c>
      <c r="K80" s="477">
        <f ca="1">'Debt &amp; Equity'!N12</f>
        <v>0</v>
      </c>
      <c r="L80" s="477">
        <f ca="1">'Debt &amp; Equity'!O12</f>
        <v>0</v>
      </c>
      <c r="M80" s="477">
        <f ca="1">'Debt &amp; Equity'!P12</f>
        <v>0</v>
      </c>
      <c r="N80" s="477">
        <f ca="1">'Debt &amp; Equity'!Q12</f>
        <v>254.37124731819591</v>
      </c>
      <c r="O80" s="468"/>
      <c r="P80" s="511"/>
    </row>
    <row r="81" spans="2:16">
      <c r="B81" s="468"/>
      <c r="C81" s="524" t="s">
        <v>211</v>
      </c>
      <c r="D81" s="468"/>
      <c r="E81" s="490">
        <v>0</v>
      </c>
      <c r="F81" s="490">
        <v>3.2410000000000001</v>
      </c>
      <c r="G81" s="490">
        <v>4.2560000000000002</v>
      </c>
      <c r="H81" s="490">
        <v>3.4380000000000002</v>
      </c>
      <c r="I81" s="490">
        <v>1.6739999999999999</v>
      </c>
      <c r="J81" s="477">
        <f ca="1">Projections!K122</f>
        <v>4.4973252945479736</v>
      </c>
      <c r="K81" s="477">
        <f ca="1">Projections!L122</f>
        <v>8.4075187849849478</v>
      </c>
      <c r="L81" s="477">
        <f ca="1">Projections!M122</f>
        <v>15.931084952381166</v>
      </c>
      <c r="M81" s="477">
        <f ca="1">Projections!N122</f>
        <v>29.39137121472643</v>
      </c>
      <c r="N81" s="477">
        <f ca="1">Projections!O122</f>
        <v>53.940276924093993</v>
      </c>
      <c r="O81" s="468"/>
      <c r="P81" s="511"/>
    </row>
    <row r="82" spans="2:16">
      <c r="B82" s="468"/>
      <c r="C82" s="524" t="s">
        <v>212</v>
      </c>
      <c r="D82" s="468"/>
      <c r="E82" s="525">
        <v>0</v>
      </c>
      <c r="F82" s="525">
        <v>0</v>
      </c>
      <c r="G82" s="525">
        <v>0.95599999999999996</v>
      </c>
      <c r="H82" s="525">
        <v>3.54</v>
      </c>
      <c r="I82" s="525">
        <v>4.3099999999999996</v>
      </c>
      <c r="J82" s="515">
        <f>Projections!K212</f>
        <v>0</v>
      </c>
      <c r="K82" s="515">
        <f>Projections!L212</f>
        <v>0</v>
      </c>
      <c r="L82" s="515">
        <f>Projections!M212</f>
        <v>0</v>
      </c>
      <c r="M82" s="515">
        <f>Projections!N212</f>
        <v>0</v>
      </c>
      <c r="N82" s="515">
        <f>Projections!O212</f>
        <v>0</v>
      </c>
      <c r="O82" s="468"/>
      <c r="P82" s="511"/>
    </row>
    <row r="83" spans="2:16">
      <c r="B83" s="468"/>
      <c r="C83" s="524" t="s">
        <v>213</v>
      </c>
      <c r="D83" s="468"/>
      <c r="E83" s="525">
        <v>3.4670000000000001</v>
      </c>
      <c r="F83" s="525">
        <v>0.92600000000000005</v>
      </c>
      <c r="G83" s="525">
        <v>3.44</v>
      </c>
      <c r="H83" s="525">
        <v>28.917000000000002</v>
      </c>
      <c r="I83" s="525">
        <v>456.24400000000003</v>
      </c>
      <c r="J83" s="515">
        <f>Projections!K215</f>
        <v>33.575363445659455</v>
      </c>
      <c r="K83" s="515">
        <f>Projections!L215</f>
        <v>147.72924888546038</v>
      </c>
      <c r="L83" s="515">
        <f>Projections!M215</f>
        <v>314.98486090478701</v>
      </c>
      <c r="M83" s="515">
        <f>Projections!N215</f>
        <v>433.73882713881136</v>
      </c>
      <c r="N83" s="515">
        <f>Projections!O215</f>
        <v>488.19297633039162</v>
      </c>
      <c r="O83" s="468"/>
      <c r="P83" s="511"/>
    </row>
    <row r="84" spans="2:16">
      <c r="B84" s="468"/>
      <c r="C84" s="479" t="s">
        <v>214</v>
      </c>
      <c r="D84" s="479"/>
      <c r="E84" s="481">
        <f t="shared" ref="E84:N84" si="17">SUM(E80:E83)</f>
        <v>3.8940000000000001</v>
      </c>
      <c r="F84" s="481">
        <f t="shared" si="17"/>
        <v>106.81100000000001</v>
      </c>
      <c r="G84" s="481">
        <f t="shared" si="17"/>
        <v>178.92299999999997</v>
      </c>
      <c r="H84" s="481">
        <f t="shared" si="17"/>
        <v>236.42199999999997</v>
      </c>
      <c r="I84" s="481">
        <f t="shared" si="17"/>
        <v>777.11</v>
      </c>
      <c r="J84" s="481">
        <f t="shared" ca="1" si="17"/>
        <v>38.072688740207425</v>
      </c>
      <c r="K84" s="481">
        <f t="shared" ca="1" si="17"/>
        <v>156.13676767044532</v>
      </c>
      <c r="L84" s="481">
        <f t="shared" ca="1" si="17"/>
        <v>330.9159458571682</v>
      </c>
      <c r="M84" s="481">
        <f t="shared" ca="1" si="17"/>
        <v>463.13019835353776</v>
      </c>
      <c r="N84" s="481">
        <f t="shared" ca="1" si="17"/>
        <v>796.50450057268154</v>
      </c>
      <c r="O84" s="468"/>
      <c r="P84" s="511"/>
    </row>
    <row r="85" spans="2:16" ht="17" thickBot="1">
      <c r="B85" s="468"/>
      <c r="C85" s="468"/>
      <c r="D85" s="468"/>
      <c r="E85" s="468"/>
      <c r="F85" s="468"/>
      <c r="G85" s="468"/>
      <c r="H85" s="468"/>
      <c r="I85" s="468"/>
      <c r="J85" s="468"/>
      <c r="K85" s="468"/>
      <c r="L85" s="468"/>
      <c r="M85" s="468"/>
      <c r="N85" s="468"/>
      <c r="O85" s="468"/>
      <c r="P85" s="511"/>
    </row>
    <row r="86" spans="2:16" ht="17" thickBot="1">
      <c r="B86" s="468"/>
      <c r="C86" s="526" t="s">
        <v>215</v>
      </c>
      <c r="D86" s="519"/>
      <c r="E86" s="520">
        <f t="shared" ref="E86:N86" si="18">E77+E84</f>
        <v>17.478999999999999</v>
      </c>
      <c r="F86" s="520">
        <f t="shared" si="18"/>
        <v>136.72800000000001</v>
      </c>
      <c r="G86" s="520">
        <f t="shared" si="18"/>
        <v>239.49899999999997</v>
      </c>
      <c r="H86" s="520">
        <f t="shared" si="18"/>
        <v>297.29199999999997</v>
      </c>
      <c r="I86" s="520">
        <f t="shared" si="18"/>
        <v>842.08500000000004</v>
      </c>
      <c r="J86" s="520">
        <f t="shared" ca="1" si="18"/>
        <v>827.335973435406</v>
      </c>
      <c r="K86" s="520">
        <f t="shared" ca="1" si="18"/>
        <v>1866.0313378480587</v>
      </c>
      <c r="L86" s="520">
        <f t="shared" ca="1" si="18"/>
        <v>3975.7367837864463</v>
      </c>
      <c r="M86" s="520">
        <f t="shared" ca="1" si="18"/>
        <v>5479.1158273668143</v>
      </c>
      <c r="N86" s="527">
        <f t="shared" ca="1" si="18"/>
        <v>6205.5321991194305</v>
      </c>
      <c r="O86" s="468"/>
      <c r="P86" s="511"/>
    </row>
    <row r="87" spans="2:16">
      <c r="B87" s="468"/>
      <c r="C87" s="468"/>
      <c r="D87" s="468"/>
      <c r="E87" s="468"/>
      <c r="F87" s="468"/>
      <c r="G87" s="468"/>
      <c r="H87" s="468"/>
      <c r="I87" s="468"/>
      <c r="J87" s="468"/>
      <c r="K87" s="468"/>
      <c r="L87" s="468"/>
      <c r="M87" s="468"/>
      <c r="N87" s="468"/>
      <c r="O87" s="468"/>
      <c r="P87" s="511"/>
    </row>
    <row r="88" spans="2:16">
      <c r="B88" s="468"/>
      <c r="C88" s="486" t="s">
        <v>216</v>
      </c>
      <c r="D88" s="505"/>
      <c r="E88" s="505"/>
      <c r="F88" s="505"/>
      <c r="G88" s="505"/>
      <c r="H88" s="505"/>
      <c r="I88" s="505"/>
      <c r="J88" s="505"/>
      <c r="K88" s="505"/>
      <c r="L88" s="505"/>
      <c r="M88" s="505"/>
      <c r="N88" s="505"/>
      <c r="O88" s="468"/>
      <c r="P88" s="511"/>
    </row>
    <row r="89" spans="2:16">
      <c r="B89" s="468"/>
      <c r="C89" s="524" t="s">
        <v>217</v>
      </c>
      <c r="D89" s="468"/>
      <c r="E89" s="476">
        <v>5.0000000000000001E-3</v>
      </c>
      <c r="F89" s="476">
        <v>5.0000000000000001E-3</v>
      </c>
      <c r="G89" s="476">
        <v>8.9999999999999993E-3</v>
      </c>
      <c r="H89" s="476">
        <v>2.1000000000000001E-2</v>
      </c>
      <c r="I89" s="476">
        <v>2.3E-2</v>
      </c>
      <c r="J89" s="528">
        <v>0</v>
      </c>
      <c r="K89" s="528">
        <v>0</v>
      </c>
      <c r="L89" s="528">
        <v>0</v>
      </c>
      <c r="M89" s="528">
        <v>0</v>
      </c>
      <c r="N89" s="528">
        <v>0</v>
      </c>
      <c r="O89" s="468"/>
      <c r="P89" s="511"/>
    </row>
    <row r="90" spans="2:16">
      <c r="B90" s="468"/>
      <c r="C90" s="524" t="s">
        <v>218</v>
      </c>
      <c r="D90" s="468"/>
      <c r="E90" s="476">
        <v>395.49099999999999</v>
      </c>
      <c r="F90" s="476">
        <v>448.96899999999999</v>
      </c>
      <c r="G90" s="476">
        <v>513.61400000000003</v>
      </c>
      <c r="H90" s="476">
        <v>765.01800000000003</v>
      </c>
      <c r="I90" s="476">
        <v>534.726</v>
      </c>
      <c r="J90" s="515">
        <f>'Debt &amp; Equity'!M87</f>
        <v>669.35930330506585</v>
      </c>
      <c r="K90" s="515">
        <f>'Debt &amp; Equity'!N87</f>
        <v>1261.7364135161242</v>
      </c>
      <c r="L90" s="515">
        <f>'Debt &amp; Equity'!O87</f>
        <v>2524.7890795977037</v>
      </c>
      <c r="M90" s="515">
        <f>'Debt &amp; Equity'!P87</f>
        <v>4264.031341676995</v>
      </c>
      <c r="N90" s="515">
        <f>'Debt &amp; Equity'!Q87</f>
        <v>6221.628410136711</v>
      </c>
      <c r="O90" s="468"/>
      <c r="P90" s="511"/>
    </row>
    <row r="91" spans="2:16">
      <c r="B91" s="468"/>
      <c r="C91" s="524" t="s">
        <v>219</v>
      </c>
      <c r="D91" s="468"/>
      <c r="E91" s="476">
        <v>-292.31099999999998</v>
      </c>
      <c r="F91" s="476">
        <v>-416.52699999999999</v>
      </c>
      <c r="G91" s="476">
        <v>-646.34</v>
      </c>
      <c r="H91" s="476">
        <v>-875.846</v>
      </c>
      <c r="I91" s="476">
        <v>-1561.7159999999999</v>
      </c>
      <c r="J91" s="515">
        <f ca="1">'Debt &amp; Equity'!M72</f>
        <v>-1601.1693877342209</v>
      </c>
      <c r="K91" s="515">
        <f ca="1">'Debt &amp; Equity'!N72</f>
        <v>-1592.0085763480411</v>
      </c>
      <c r="L91" s="515">
        <f ca="1">'Debt &amp; Equity'!O72</f>
        <v>-1301.9435404294118</v>
      </c>
      <c r="M91" s="515">
        <f ca="1">'Debt &amp; Equity'!P72</f>
        <v>-589.76459573139971</v>
      </c>
      <c r="N91" s="515">
        <f ca="1">'Debt &amp; Equity'!Q72</f>
        <v>563.83468992763358</v>
      </c>
      <c r="O91" s="468"/>
      <c r="P91" s="511"/>
    </row>
    <row r="92" spans="2:16">
      <c r="B92" s="468"/>
      <c r="C92" s="524" t="s">
        <v>220</v>
      </c>
      <c r="D92" s="468"/>
      <c r="E92" s="476">
        <v>17.600000000000001</v>
      </c>
      <c r="F92" s="476">
        <v>0</v>
      </c>
      <c r="G92" s="476">
        <v>6.0000000000000001E-3</v>
      </c>
      <c r="H92" s="476">
        <v>7.0000000000000001E-3</v>
      </c>
      <c r="I92" s="476">
        <v>-43.496000000000002</v>
      </c>
      <c r="J92" s="528">
        <f>I92</f>
        <v>-43.496000000000002</v>
      </c>
      <c r="K92" s="528">
        <f t="shared" ref="K92:N92" si="19">J92</f>
        <v>-43.496000000000002</v>
      </c>
      <c r="L92" s="528">
        <f t="shared" si="19"/>
        <v>-43.496000000000002</v>
      </c>
      <c r="M92" s="528">
        <f t="shared" si="19"/>
        <v>-43.496000000000002</v>
      </c>
      <c r="N92" s="528">
        <f t="shared" si="19"/>
        <v>-43.496000000000002</v>
      </c>
      <c r="O92" s="468"/>
      <c r="P92" s="511"/>
    </row>
    <row r="93" spans="2:16">
      <c r="B93" s="468"/>
      <c r="C93" s="498" t="s">
        <v>221</v>
      </c>
      <c r="D93" s="523"/>
      <c r="E93" s="529">
        <f t="shared" ref="E93:N93" si="20">SUM(E89:E92)</f>
        <v>120.785</v>
      </c>
      <c r="F93" s="529">
        <f t="shared" si="20"/>
        <v>32.447000000000003</v>
      </c>
      <c r="G93" s="529">
        <f t="shared" si="20"/>
        <v>-132.71099999999998</v>
      </c>
      <c r="H93" s="529">
        <f t="shared" si="20"/>
        <v>-110.80000000000001</v>
      </c>
      <c r="I93" s="529">
        <f t="shared" si="20"/>
        <v>-1070.463</v>
      </c>
      <c r="J93" s="529">
        <f t="shared" ca="1" si="20"/>
        <v>-975.30608442915502</v>
      </c>
      <c r="K93" s="529">
        <f t="shared" ca="1" si="20"/>
        <v>-373.76816283191681</v>
      </c>
      <c r="L93" s="529">
        <f t="shared" ca="1" si="20"/>
        <v>1179.3495391682918</v>
      </c>
      <c r="M93" s="529">
        <f t="shared" ca="1" si="20"/>
        <v>3630.7707459455951</v>
      </c>
      <c r="N93" s="529">
        <f t="shared" ca="1" si="20"/>
        <v>6741.9671000643448</v>
      </c>
      <c r="O93" s="468"/>
      <c r="P93" s="511"/>
    </row>
    <row r="94" spans="2:16">
      <c r="B94" s="468"/>
      <c r="C94" s="475" t="s">
        <v>222</v>
      </c>
      <c r="D94" s="468"/>
      <c r="E94" s="476">
        <v>0</v>
      </c>
      <c r="F94" s="476">
        <v>0</v>
      </c>
      <c r="G94" s="476">
        <v>0</v>
      </c>
      <c r="H94" s="476">
        <v>0</v>
      </c>
      <c r="I94" s="476">
        <v>488.69600000000003</v>
      </c>
      <c r="J94" s="530">
        <f>I94</f>
        <v>488.69600000000003</v>
      </c>
      <c r="K94" s="530">
        <f t="shared" ref="K94:N94" si="21">J94</f>
        <v>488.69600000000003</v>
      </c>
      <c r="L94" s="530">
        <f t="shared" si="21"/>
        <v>488.69600000000003</v>
      </c>
      <c r="M94" s="530">
        <f t="shared" si="21"/>
        <v>488.69600000000003</v>
      </c>
      <c r="N94" s="530">
        <f t="shared" si="21"/>
        <v>488.69600000000003</v>
      </c>
      <c r="O94" s="468"/>
      <c r="P94" s="511"/>
    </row>
    <row r="95" spans="2:16">
      <c r="B95" s="468"/>
      <c r="C95" s="531" t="s">
        <v>223</v>
      </c>
      <c r="D95" s="531"/>
      <c r="E95" s="532">
        <f t="shared" ref="E95:J95" si="22">SUM(E93,E94)</f>
        <v>120.785</v>
      </c>
      <c r="F95" s="532">
        <f t="shared" si="22"/>
        <v>32.447000000000003</v>
      </c>
      <c r="G95" s="532">
        <f t="shared" si="22"/>
        <v>-132.71099999999998</v>
      </c>
      <c r="H95" s="532">
        <f t="shared" si="22"/>
        <v>-110.80000000000001</v>
      </c>
      <c r="I95" s="532">
        <f t="shared" si="22"/>
        <v>-581.76699999999994</v>
      </c>
      <c r="J95" s="533">
        <f t="shared" ca="1" si="22"/>
        <v>-486.61008442915499</v>
      </c>
      <c r="K95" s="533">
        <f ca="1">SUM(K93,K94)</f>
        <v>114.92783716808322</v>
      </c>
      <c r="L95" s="533">
        <f ca="1">SUM(L93,L94)</f>
        <v>1668.0455391682917</v>
      </c>
      <c r="M95" s="533">
        <f ca="1">SUM(M93,M94)</f>
        <v>4119.466745945595</v>
      </c>
      <c r="N95" s="533">
        <f ca="1">SUM(N93,N94)</f>
        <v>7230.6631000643447</v>
      </c>
      <c r="O95" s="468"/>
      <c r="P95" s="511"/>
    </row>
    <row r="96" spans="2:16">
      <c r="B96" s="468"/>
      <c r="C96" s="468"/>
      <c r="D96" s="468"/>
      <c r="E96" s="468"/>
      <c r="F96" s="468"/>
      <c r="G96" s="468"/>
      <c r="H96" s="468"/>
      <c r="I96" s="468"/>
      <c r="J96" s="468"/>
      <c r="K96" s="468"/>
      <c r="L96" s="468"/>
      <c r="M96" s="468"/>
      <c r="N96" s="468"/>
      <c r="O96" s="468"/>
      <c r="P96" s="511"/>
    </row>
    <row r="97" spans="2:16" ht="17" thickBot="1">
      <c r="B97" s="468"/>
      <c r="C97" s="526" t="s">
        <v>224</v>
      </c>
      <c r="D97" s="519"/>
      <c r="E97" s="520">
        <f t="shared" ref="E97:N97" si="23">SUM(E86,E95)</f>
        <v>138.26400000000001</v>
      </c>
      <c r="F97" s="520">
        <f t="shared" si="23"/>
        <v>169.17500000000001</v>
      </c>
      <c r="G97" s="520">
        <f t="shared" si="23"/>
        <v>106.78799999999998</v>
      </c>
      <c r="H97" s="520">
        <f t="shared" si="23"/>
        <v>186.49199999999996</v>
      </c>
      <c r="I97" s="520">
        <f t="shared" si="23"/>
        <v>260.3180000000001</v>
      </c>
      <c r="J97" s="520">
        <f t="shared" ca="1" si="23"/>
        <v>340.72588900625101</v>
      </c>
      <c r="K97" s="520">
        <f t="shared" ca="1" si="23"/>
        <v>1980.9591750161419</v>
      </c>
      <c r="L97" s="520">
        <f t="shared" ca="1" si="23"/>
        <v>5643.7823229547375</v>
      </c>
      <c r="M97" s="520">
        <f t="shared" ca="1" si="23"/>
        <v>9598.5825733124093</v>
      </c>
      <c r="N97" s="527">
        <f t="shared" ca="1" si="23"/>
        <v>13436.195299183775</v>
      </c>
      <c r="O97" s="468"/>
    </row>
    <row r="98" spans="2:16">
      <c r="B98" s="468"/>
      <c r="C98" s="534" t="s">
        <v>225</v>
      </c>
      <c r="D98" s="534"/>
      <c r="E98" s="535" t="str">
        <f>IF(ROUND(ABS(E67-E97),4)=0,"BALANCED",E67-E97)</f>
        <v>BALANCED</v>
      </c>
      <c r="F98" s="535" t="str">
        <f t="shared" ref="F98:N98" si="24">IF(ROUND(ABS(F67-F97),4)=0,"BALANCED",F67-F97)</f>
        <v>BALANCED</v>
      </c>
      <c r="G98" s="535" t="str">
        <f t="shared" si="24"/>
        <v>BALANCED</v>
      </c>
      <c r="H98" s="535" t="str">
        <f t="shared" si="24"/>
        <v>BALANCED</v>
      </c>
      <c r="I98" s="535" t="str">
        <f t="shared" si="24"/>
        <v>BALANCED</v>
      </c>
      <c r="J98" s="535" t="str">
        <f t="shared" ca="1" si="24"/>
        <v>BALANCED</v>
      </c>
      <c r="K98" s="535" t="str">
        <f t="shared" ca="1" si="24"/>
        <v>BALANCED</v>
      </c>
      <c r="L98" s="535" t="str">
        <f t="shared" ca="1" si="24"/>
        <v>BALANCED</v>
      </c>
      <c r="M98" s="535" t="str">
        <f t="shared" ca="1" si="24"/>
        <v>BALANCED</v>
      </c>
      <c r="N98" s="535" t="str">
        <f t="shared" ca="1" si="24"/>
        <v>BALANCED</v>
      </c>
      <c r="O98" s="468"/>
    </row>
    <row r="99" spans="2:16">
      <c r="B99" s="468"/>
      <c r="C99" s="468"/>
      <c r="D99" s="468"/>
      <c r="E99" s="468"/>
      <c r="F99" s="468"/>
      <c r="G99" s="468"/>
      <c r="H99" s="468"/>
      <c r="I99" s="468"/>
      <c r="J99" s="468"/>
      <c r="K99" s="468"/>
      <c r="L99" s="468"/>
      <c r="M99" s="468"/>
      <c r="N99" s="468"/>
      <c r="O99" s="468"/>
    </row>
    <row r="100" spans="2:16">
      <c r="B100" s="468"/>
      <c r="C100" s="473"/>
      <c r="D100" s="474"/>
      <c r="E100" s="474"/>
      <c r="F100" s="474"/>
      <c r="G100" s="474"/>
      <c r="H100" s="474"/>
      <c r="I100" s="474"/>
      <c r="J100" s="474"/>
      <c r="K100" s="474"/>
      <c r="L100" s="474"/>
      <c r="M100" s="474"/>
      <c r="N100" s="474"/>
      <c r="O100" s="468"/>
    </row>
    <row r="101" spans="2:16">
      <c r="B101" s="468"/>
      <c r="C101" s="474" t="s">
        <v>226</v>
      </c>
      <c r="D101" s="474"/>
      <c r="E101" s="474" t="s">
        <v>149</v>
      </c>
      <c r="F101" s="474" t="s">
        <v>150</v>
      </c>
      <c r="G101" s="474" t="s">
        <v>151</v>
      </c>
      <c r="H101" s="474" t="s">
        <v>152</v>
      </c>
      <c r="I101" s="474" t="s">
        <v>153</v>
      </c>
      <c r="J101" s="474" t="s">
        <v>154</v>
      </c>
      <c r="K101" s="474" t="s">
        <v>155</v>
      </c>
      <c r="L101" s="474" t="s">
        <v>156</v>
      </c>
      <c r="M101" s="474" t="s">
        <v>157</v>
      </c>
      <c r="N101" s="474" t="s">
        <v>158</v>
      </c>
      <c r="O101" s="468"/>
    </row>
    <row r="102" spans="2:16">
      <c r="B102" s="468"/>
      <c r="C102" s="468"/>
      <c r="D102" s="468"/>
      <c r="E102" s="468"/>
      <c r="F102" s="468"/>
      <c r="G102" s="468"/>
      <c r="H102" s="468"/>
      <c r="I102" s="468"/>
      <c r="J102" s="468"/>
      <c r="K102" s="468"/>
      <c r="L102" s="468"/>
      <c r="M102" s="468"/>
      <c r="N102" s="468"/>
      <c r="O102" s="468"/>
    </row>
    <row r="103" spans="2:16">
      <c r="B103" s="468"/>
      <c r="C103" s="536" t="s">
        <v>227</v>
      </c>
      <c r="D103" s="505"/>
      <c r="E103" s="505"/>
      <c r="F103" s="505"/>
      <c r="G103" s="505"/>
      <c r="H103" s="505"/>
      <c r="I103" s="505"/>
      <c r="J103" s="505"/>
      <c r="K103" s="505"/>
      <c r="L103" s="505"/>
      <c r="M103" s="505"/>
      <c r="N103" s="505"/>
      <c r="O103" s="468"/>
    </row>
    <row r="104" spans="2:16">
      <c r="B104" s="468"/>
      <c r="C104" s="537" t="s">
        <v>228</v>
      </c>
      <c r="D104" s="538"/>
      <c r="E104" s="539">
        <v>-70.643000000000001</v>
      </c>
      <c r="F104" s="539">
        <v>-124.21599999999999</v>
      </c>
      <c r="G104" s="539">
        <v>-229.81299999999996</v>
      </c>
      <c r="H104" s="539">
        <v>-229.506</v>
      </c>
      <c r="I104" s="539">
        <v>-685.87</v>
      </c>
      <c r="J104" s="540">
        <f ca="1">J40</f>
        <v>-39.453387734220996</v>
      </c>
      <c r="K104" s="540">
        <f ca="1">K40</f>
        <v>9.160811386179855</v>
      </c>
      <c r="L104" s="540">
        <f ca="1">L40</f>
        <v>290.06503591862941</v>
      </c>
      <c r="M104" s="540">
        <f ca="1">M40</f>
        <v>712.17894469801206</v>
      </c>
      <c r="N104" s="540">
        <f ca="1">N40</f>
        <v>1153.5992856590333</v>
      </c>
      <c r="O104" s="468"/>
    </row>
    <row r="105" spans="2:16">
      <c r="B105" s="468"/>
      <c r="C105" s="524" t="s">
        <v>229</v>
      </c>
      <c r="D105" s="490"/>
      <c r="E105" s="541"/>
      <c r="F105" s="541"/>
      <c r="G105" s="541"/>
      <c r="H105" s="541"/>
      <c r="I105" s="541"/>
      <c r="J105" s="515">
        <f ca="1">-PPE!M68</f>
        <v>16.806658045416498</v>
      </c>
      <c r="K105" s="515">
        <f ca="1">-PPE!N68</f>
        <v>32.575532536899551</v>
      </c>
      <c r="L105" s="515">
        <f ca="1">-PPE!O68</f>
        <v>63.671496959270826</v>
      </c>
      <c r="M105" s="515">
        <f ca="1">-PPE!P68</f>
        <v>118.11807487003701</v>
      </c>
      <c r="N105" s="515">
        <f ca="1">-PPE!Q68</f>
        <v>221.53829044673768</v>
      </c>
      <c r="O105" s="468"/>
    </row>
    <row r="106" spans="2:16">
      <c r="B106" s="468"/>
      <c r="C106" s="524" t="s">
        <v>230</v>
      </c>
      <c r="D106" s="490"/>
      <c r="E106" s="541"/>
      <c r="F106" s="541"/>
      <c r="G106" s="541"/>
      <c r="H106" s="541"/>
      <c r="I106" s="541"/>
      <c r="J106" s="515">
        <f>-Intangibles!M47</f>
        <v>0.25740234106728538</v>
      </c>
      <c r="K106" s="515">
        <f>-Intangibles!N47</f>
        <v>0.96169477026613281</v>
      </c>
      <c r="L106" s="515">
        <f>-Intangibles!O47</f>
        <v>2.4633706707473908</v>
      </c>
      <c r="M106" s="515">
        <f>-Intangibles!P47</f>
        <v>4.3137983261644228</v>
      </c>
      <c r="N106" s="515">
        <f>-Intangibles!Q47</f>
        <v>5.9369435561398314</v>
      </c>
      <c r="O106" s="468"/>
    </row>
    <row r="107" spans="2:16">
      <c r="B107" s="468"/>
      <c r="C107" s="542" t="s">
        <v>231</v>
      </c>
      <c r="D107" s="490"/>
      <c r="E107" s="568">
        <v>1.5580000000000001</v>
      </c>
      <c r="F107" s="568">
        <v>3.5369999999999999</v>
      </c>
      <c r="G107" s="568">
        <v>7.6790000000000003</v>
      </c>
      <c r="H107" s="568">
        <v>10.731</v>
      </c>
      <c r="I107" s="568">
        <v>9.0820000000000007</v>
      </c>
      <c r="J107" s="543">
        <f ca="1">(SUM(J105:J106))</f>
        <v>17.064060386483781</v>
      </c>
      <c r="K107" s="543">
        <f t="shared" ref="K107:N107" ca="1" si="25">(SUM(K105:K106))</f>
        <v>33.537227307165686</v>
      </c>
      <c r="L107" s="543">
        <f t="shared" ca="1" si="25"/>
        <v>66.134867630018221</v>
      </c>
      <c r="M107" s="543">
        <f t="shared" ca="1" si="25"/>
        <v>122.43187319620142</v>
      </c>
      <c r="N107" s="543">
        <f t="shared" ca="1" si="25"/>
        <v>227.4752340028775</v>
      </c>
      <c r="O107" s="468"/>
    </row>
    <row r="108" spans="2:16">
      <c r="C108" s="524" t="s">
        <v>232</v>
      </c>
      <c r="E108" s="490">
        <v>5.0810000000000004</v>
      </c>
      <c r="F108" s="490">
        <v>15.058</v>
      </c>
      <c r="G108" s="490">
        <v>13.794</v>
      </c>
      <c r="H108" s="490">
        <v>14.057</v>
      </c>
      <c r="I108" s="490">
        <v>18.78</v>
      </c>
      <c r="J108" s="515">
        <f>Projections!K223</f>
        <v>134.63330330506585</v>
      </c>
      <c r="K108" s="515">
        <f>Projections!L223</f>
        <v>592.37711021105827</v>
      </c>
      <c r="L108" s="515">
        <f>Projections!M223</f>
        <v>1263.0526660815792</v>
      </c>
      <c r="M108" s="515">
        <f>Projections!N223</f>
        <v>1739.2422620792918</v>
      </c>
      <c r="N108" s="515">
        <f>Projections!O223</f>
        <v>1957.5970684597157</v>
      </c>
      <c r="P108" s="516"/>
    </row>
    <row r="109" spans="2:16">
      <c r="C109" s="544" t="s">
        <v>233</v>
      </c>
      <c r="E109" s="490"/>
      <c r="F109" s="490"/>
      <c r="G109" s="490"/>
      <c r="H109" s="490"/>
      <c r="I109" s="490"/>
      <c r="J109" s="545"/>
      <c r="K109" s="545"/>
      <c r="L109" s="545"/>
      <c r="M109" s="545"/>
      <c r="N109" s="545"/>
      <c r="P109" s="546"/>
    </row>
    <row r="110" spans="2:16">
      <c r="C110" s="524" t="s">
        <v>234</v>
      </c>
      <c r="E110" s="541"/>
      <c r="F110" s="541"/>
      <c r="G110" s="541"/>
      <c r="H110" s="541"/>
      <c r="I110" s="541"/>
      <c r="J110" s="543">
        <f>I50-J50</f>
        <v>-18.270987251729522</v>
      </c>
      <c r="K110" s="543">
        <f>J50-K50</f>
        <v>-116.97454830677273</v>
      </c>
      <c r="L110" s="543">
        <f>K50-L50</f>
        <v>-171.38838150236234</v>
      </c>
      <c r="M110" s="543">
        <f>L50-M50</f>
        <v>-120.4739326559619</v>
      </c>
      <c r="N110" s="543">
        <f>M50-N50</f>
        <v>-57.014034458938113</v>
      </c>
    </row>
    <row r="111" spans="2:16">
      <c r="C111" s="524" t="s">
        <v>235</v>
      </c>
      <c r="E111" s="541"/>
      <c r="F111" s="541"/>
      <c r="G111" s="541"/>
      <c r="H111" s="541"/>
      <c r="I111" s="541"/>
      <c r="J111" s="543">
        <f>I53-J53</f>
        <v>28.737371162136181</v>
      </c>
      <c r="K111" s="543">
        <f>J53-K53</f>
        <v>-13.151481816277407</v>
      </c>
      <c r="L111" s="543">
        <f>K53-L53</f>
        <v>-17.920635673474969</v>
      </c>
      <c r="M111" s="543">
        <f>L53-M53</f>
        <v>-10.929082777263481</v>
      </c>
      <c r="N111" s="543">
        <f>M53-N53</f>
        <v>-3.4514534662315342</v>
      </c>
    </row>
    <row r="112" spans="2:16">
      <c r="C112" s="524" t="s">
        <v>236</v>
      </c>
      <c r="E112" s="541"/>
      <c r="F112" s="541"/>
      <c r="G112" s="541"/>
      <c r="H112" s="541"/>
      <c r="I112" s="541"/>
      <c r="J112" s="543">
        <f>J71-I71</f>
        <v>171.25543227397259</v>
      </c>
      <c r="K112" s="543">
        <f>K71-J71</f>
        <v>639.11351124124758</v>
      </c>
      <c r="L112" s="543">
        <f>L71-K71</f>
        <v>936.41421893472864</v>
      </c>
      <c r="M112" s="543">
        <f>M71-L71</f>
        <v>658.23308768729225</v>
      </c>
      <c r="N112" s="543">
        <f>N71-M71</f>
        <v>311.50742003738696</v>
      </c>
      <c r="P112" s="546"/>
    </row>
    <row r="113" spans="3:16">
      <c r="C113" s="544" t="s">
        <v>237</v>
      </c>
      <c r="E113" s="490"/>
      <c r="F113" s="490"/>
      <c r="G113" s="490"/>
      <c r="H113" s="490"/>
      <c r="I113" s="490"/>
      <c r="J113" s="543"/>
      <c r="K113" s="543"/>
      <c r="L113" s="543"/>
      <c r="M113" s="543"/>
      <c r="N113" s="543"/>
      <c r="P113" s="546"/>
    </row>
    <row r="114" spans="3:16">
      <c r="C114" s="524" t="s">
        <v>238</v>
      </c>
      <c r="E114" s="541"/>
      <c r="F114" s="541"/>
      <c r="G114" s="541"/>
      <c r="H114" s="541"/>
      <c r="I114" s="541"/>
      <c r="J114" s="543">
        <f>I51-J51</f>
        <v>-0.28395365878152257</v>
      </c>
      <c r="K114" s="543">
        <f t="shared" ref="K114:N115" si="26">J51-K51</f>
        <v>-8.727462753101058</v>
      </c>
      <c r="L114" s="543">
        <f t="shared" si="26"/>
        <v>-12.787274988686894</v>
      </c>
      <c r="M114" s="543">
        <f t="shared" si="26"/>
        <v>-8.9885515712107704</v>
      </c>
      <c r="N114" s="543">
        <f t="shared" si="26"/>
        <v>-4.2538130674328372</v>
      </c>
      <c r="P114" s="546"/>
    </row>
    <row r="115" spans="3:16">
      <c r="C115" s="524" t="s">
        <v>239</v>
      </c>
      <c r="E115" s="541"/>
      <c r="F115" s="541"/>
      <c r="G115" s="541"/>
      <c r="H115" s="541"/>
      <c r="I115" s="541"/>
      <c r="J115" s="543">
        <f>I52-J52</f>
        <v>-36.918522949118504</v>
      </c>
      <c r="K115" s="543">
        <f t="shared" si="26"/>
        <v>-199.40427256039644</v>
      </c>
      <c r="L115" s="543">
        <f t="shared" si="26"/>
        <v>-292.16249204189938</v>
      </c>
      <c r="M115" s="543">
        <f t="shared" si="26"/>
        <v>-205.36960605097158</v>
      </c>
      <c r="N115" s="543">
        <f t="shared" si="26"/>
        <v>-97.190732784045281</v>
      </c>
      <c r="P115" s="546"/>
    </row>
    <row r="116" spans="3:16">
      <c r="C116" s="524" t="s">
        <v>240</v>
      </c>
      <c r="E116" s="541"/>
      <c r="F116" s="541"/>
      <c r="G116" s="541"/>
      <c r="H116" s="541"/>
      <c r="I116" s="541"/>
      <c r="J116" s="543">
        <f>I54-J54</f>
        <v>-9.5769799999999989</v>
      </c>
      <c r="K116" s="543">
        <f t="shared" ref="K116:N117" si="27">J54-K54</f>
        <v>-35.750195951399988</v>
      </c>
      <c r="L116" s="543">
        <f t="shared" si="27"/>
        <v>-52.380353770923627</v>
      </c>
      <c r="M116" s="543">
        <f t="shared" si="27"/>
        <v>-37.190828384997573</v>
      </c>
      <c r="N116" s="543">
        <f t="shared" si="27"/>
        <v>-17.053703397528068</v>
      </c>
    </row>
    <row r="117" spans="3:16">
      <c r="C117" s="524" t="s">
        <v>241</v>
      </c>
      <c r="E117" s="541"/>
      <c r="F117" s="541"/>
      <c r="G117" s="541"/>
      <c r="H117" s="541"/>
      <c r="I117" s="541"/>
      <c r="J117" s="543">
        <f>I55-J55</f>
        <v>-41.0115229491185</v>
      </c>
      <c r="K117" s="543">
        <f t="shared" si="27"/>
        <v>-199.40427256039644</v>
      </c>
      <c r="L117" s="543">
        <f t="shared" si="27"/>
        <v>-292.16249204189938</v>
      </c>
      <c r="M117" s="543">
        <f t="shared" si="27"/>
        <v>-207.43970438960821</v>
      </c>
      <c r="N117" s="543">
        <f t="shared" si="27"/>
        <v>-95.120634445408655</v>
      </c>
    </row>
    <row r="118" spans="3:16">
      <c r="C118" s="524" t="s">
        <v>242</v>
      </c>
      <c r="E118" s="541"/>
      <c r="F118" s="541"/>
      <c r="G118" s="541"/>
      <c r="H118" s="541"/>
      <c r="I118" s="541"/>
      <c r="J118" s="543">
        <f>J72-I72</f>
        <v>75.265630000000002</v>
      </c>
      <c r="K118" s="543">
        <f>K72-J72</f>
        <v>297.39741898589995</v>
      </c>
      <c r="L118" s="543">
        <f>L72-K72</f>
        <v>435.7397659643039</v>
      </c>
      <c r="M118" s="543">
        <f>M72-L72</f>
        <v>309.3816992410832</v>
      </c>
      <c r="N118" s="543">
        <f>N72-M72</f>
        <v>141.86572239969246</v>
      </c>
    </row>
    <row r="119" spans="3:16">
      <c r="C119" s="524" t="s">
        <v>243</v>
      </c>
      <c r="E119" s="541"/>
      <c r="F119" s="541"/>
      <c r="G119" s="541"/>
      <c r="H119" s="541"/>
      <c r="I119" s="541"/>
      <c r="J119" s="543">
        <f>J75-I75</f>
        <v>10.263485371900828</v>
      </c>
      <c r="K119" s="543">
        <f t="shared" ref="K119:N120" si="28">K75-J75</f>
        <v>109.82618909048675</v>
      </c>
      <c r="L119" s="543">
        <f t="shared" si="28"/>
        <v>160.91477220691345</v>
      </c>
      <c r="M119" s="543">
        <f t="shared" si="28"/>
        <v>114.25187588328822</v>
      </c>
      <c r="N119" s="543">
        <f t="shared" si="28"/>
        <v>52.389733935336608</v>
      </c>
    </row>
    <row r="120" spans="3:16">
      <c r="C120" s="524" t="s">
        <v>244</v>
      </c>
      <c r="E120" s="541"/>
      <c r="F120" s="541"/>
      <c r="G120" s="541"/>
      <c r="H120" s="541"/>
      <c r="I120" s="541"/>
      <c r="J120" s="543">
        <f>J76-I76</f>
        <v>52.364511616826618</v>
      </c>
      <c r="K120" s="543">
        <f t="shared" si="28"/>
        <v>212.27976894139724</v>
      </c>
      <c r="L120" s="543">
        <f t="shared" si="28"/>
        <v>311.0273692115212</v>
      </c>
      <c r="M120" s="543">
        <f t="shared" si="28"/>
        <v>220.83404709274816</v>
      </c>
      <c r="N120" s="543">
        <f t="shared" si="28"/>
        <v>101.26255592399389</v>
      </c>
    </row>
    <row r="121" spans="3:16">
      <c r="C121" s="524" t="s">
        <v>245</v>
      </c>
      <c r="E121" s="541"/>
      <c r="F121" s="541"/>
      <c r="G121" s="541"/>
      <c r="H121" s="541"/>
      <c r="I121" s="541"/>
      <c r="J121" s="543">
        <f>I63-J63</f>
        <v>0.96299999999999997</v>
      </c>
      <c r="K121" s="543">
        <f t="shared" ref="K121:N122" si="29">J63-K63</f>
        <v>0</v>
      </c>
      <c r="L121" s="543">
        <f t="shared" si="29"/>
        <v>0</v>
      </c>
      <c r="M121" s="543">
        <f t="shared" si="29"/>
        <v>0</v>
      </c>
      <c r="N121" s="543">
        <f t="shared" si="29"/>
        <v>0</v>
      </c>
    </row>
    <row r="122" spans="3:16">
      <c r="C122" s="524" t="s">
        <v>246</v>
      </c>
      <c r="E122" s="541"/>
      <c r="F122" s="541"/>
      <c r="G122" s="541"/>
      <c r="H122" s="541"/>
      <c r="I122" s="541"/>
      <c r="J122" s="543">
        <f>I64-J64</f>
        <v>-39.899973553719022</v>
      </c>
      <c r="K122" s="543">
        <f t="shared" si="29"/>
        <v>-225.08547587449584</v>
      </c>
      <c r="L122" s="543">
        <f t="shared" si="29"/>
        <v>-329.78999250886858</v>
      </c>
      <c r="M122" s="543">
        <f t="shared" si="29"/>
        <v>-234.15578802935397</v>
      </c>
      <c r="N122" s="543">
        <f t="shared" si="29"/>
        <v>-107.37118615722704</v>
      </c>
    </row>
    <row r="123" spans="3:16">
      <c r="C123" s="524" t="s">
        <v>247</v>
      </c>
      <c r="E123" s="541"/>
      <c r="F123" s="541"/>
      <c r="G123" s="541"/>
      <c r="H123" s="541"/>
      <c r="I123" s="541"/>
      <c r="J123" s="543">
        <f>J82-I82</f>
        <v>-4.3099999999999996</v>
      </c>
      <c r="K123" s="543">
        <f t="shared" ref="K123:N124" si="30">K82-J82</f>
        <v>0</v>
      </c>
      <c r="L123" s="543">
        <f t="shared" si="30"/>
        <v>0</v>
      </c>
      <c r="M123" s="543">
        <f t="shared" si="30"/>
        <v>0</v>
      </c>
      <c r="N123" s="543">
        <f t="shared" si="30"/>
        <v>0</v>
      </c>
    </row>
    <row r="124" spans="3:16" ht="17" thickBot="1">
      <c r="C124" s="524" t="s">
        <v>248</v>
      </c>
      <c r="E124" s="541"/>
      <c r="F124" s="541"/>
      <c r="G124" s="541"/>
      <c r="H124" s="541"/>
      <c r="I124" s="541"/>
      <c r="J124" s="543">
        <f>J83-I83</f>
        <v>-422.66863655434059</v>
      </c>
      <c r="K124" s="543">
        <f t="shared" si="30"/>
        <v>114.15388543980092</v>
      </c>
      <c r="L124" s="543">
        <f t="shared" si="30"/>
        <v>167.25561201932663</v>
      </c>
      <c r="M124" s="543">
        <f t="shared" si="30"/>
        <v>118.75396623402435</v>
      </c>
      <c r="N124" s="543">
        <f t="shared" si="30"/>
        <v>54.454149191580257</v>
      </c>
    </row>
    <row r="125" spans="3:16" ht="17" thickBot="1">
      <c r="C125" s="547" t="s">
        <v>249</v>
      </c>
      <c r="D125" s="548"/>
      <c r="E125" s="549">
        <v>-26.559000000000001</v>
      </c>
      <c r="F125" s="549">
        <v>-116.14700000000001</v>
      </c>
      <c r="G125" s="549">
        <v>-196.857</v>
      </c>
      <c r="H125" s="549">
        <v>-145.018</v>
      </c>
      <c r="I125" s="549">
        <v>-153.93600000000001</v>
      </c>
      <c r="J125" s="550">
        <f ca="1">SUM(J107:J124)+J104</f>
        <v>-121.84717053464277</v>
      </c>
      <c r="K125" s="550">
        <f t="shared" ref="K125:N125" ca="1" si="31">SUM(K107:K124)+K104</f>
        <v>1209.3482127803964</v>
      </c>
      <c r="L125" s="550">
        <f t="shared" ca="1" si="31"/>
        <v>2462.0126854389055</v>
      </c>
      <c r="M125" s="550">
        <f t="shared" ca="1" si="31"/>
        <v>3170.7602622525746</v>
      </c>
      <c r="N125" s="550">
        <f t="shared" ca="1" si="31"/>
        <v>3618.6956118328048</v>
      </c>
    </row>
    <row r="126" spans="3:16">
      <c r="C126" s="551" t="s">
        <v>250</v>
      </c>
    </row>
    <row r="127" spans="3:16">
      <c r="C127" s="536" t="s">
        <v>251</v>
      </c>
      <c r="D127" s="552"/>
      <c r="E127" s="552"/>
      <c r="F127" s="552"/>
      <c r="G127" s="552"/>
      <c r="H127" s="552"/>
      <c r="I127" s="552"/>
      <c r="J127" s="552"/>
      <c r="K127" s="552"/>
      <c r="L127" s="552"/>
      <c r="M127" s="552"/>
      <c r="N127" s="552"/>
    </row>
    <row r="128" spans="3:16">
      <c r="C128" s="524" t="s">
        <v>252</v>
      </c>
      <c r="E128" s="476">
        <v>-3.605</v>
      </c>
      <c r="F128" s="476">
        <v>-15.589</v>
      </c>
      <c r="G128" s="476">
        <v>-20.071999999999999</v>
      </c>
      <c r="H128" s="476">
        <v>-29.323</v>
      </c>
      <c r="I128" s="476">
        <v>-33.152000000000001</v>
      </c>
      <c r="J128" s="515">
        <f ca="1">-PPE!M29</f>
        <v>-46.628407670567881</v>
      </c>
      <c r="K128" s="515">
        <f ca="1">-PPE!N29</f>
        <v>-91.6421690735271</v>
      </c>
      <c r="L128" s="515">
        <f ca="1">-PPE!O29</f>
        <v>-180.71686921209806</v>
      </c>
      <c r="M128" s="515">
        <f ca="1">-PPE!P29</f>
        <v>-334.55128298688044</v>
      </c>
      <c r="N128" s="515">
        <f ca="1">-PPE!Q29</f>
        <v>-621.58757680238341</v>
      </c>
      <c r="P128" s="516"/>
    </row>
    <row r="129" spans="3:16">
      <c r="C129" s="524" t="s">
        <v>253</v>
      </c>
      <c r="E129" s="541"/>
      <c r="F129" s="541"/>
      <c r="G129" s="541"/>
      <c r="H129" s="541"/>
      <c r="I129" s="541"/>
      <c r="J129" s="515">
        <f>-Intangibles!M23</f>
        <v>-0.48020702320185615</v>
      </c>
      <c r="K129" s="515">
        <f>-Intangibles!N23</f>
        <v>-2.1128772875965423</v>
      </c>
      <c r="L129" s="515">
        <f>-Intangibles!O23</f>
        <v>-4.5050277014437734</v>
      </c>
      <c r="M129" s="515">
        <f>-Intangibles!P23</f>
        <v>-6.2034899894529536</v>
      </c>
      <c r="N129" s="515">
        <f>-Intangibles!Q23</f>
        <v>-6.9823129775227679</v>
      </c>
      <c r="P129" s="516"/>
    </row>
    <row r="130" spans="3:16">
      <c r="C130" s="524" t="s">
        <v>254</v>
      </c>
      <c r="E130" s="541"/>
      <c r="F130" s="541"/>
      <c r="G130" s="541"/>
      <c r="H130" s="541"/>
      <c r="I130" s="541"/>
      <c r="J130" s="553">
        <f>-(J49-I49+J60-I60)</f>
        <v>14.07</v>
      </c>
      <c r="K130" s="553">
        <f>-(K49-J49+K60-J60)</f>
        <v>0</v>
      </c>
      <c r="L130" s="553">
        <f>-(L49-K49+L60-K60)</f>
        <v>0</v>
      </c>
      <c r="M130" s="553">
        <f>-(M49-L49+M60-L60)</f>
        <v>0</v>
      </c>
      <c r="N130" s="553">
        <f>-(N49-M49+N60-M60)</f>
        <v>0</v>
      </c>
    </row>
    <row r="131" spans="3:16" ht="17" thickBot="1">
      <c r="C131" s="524" t="s">
        <v>255</v>
      </c>
      <c r="E131" s="541"/>
      <c r="F131" s="541"/>
      <c r="G131" s="541"/>
      <c r="H131" s="541"/>
      <c r="I131" s="541"/>
      <c r="J131" s="530">
        <v>0</v>
      </c>
      <c r="K131" s="530">
        <v>0</v>
      </c>
      <c r="L131" s="530">
        <v>0</v>
      </c>
      <c r="M131" s="530">
        <v>0</v>
      </c>
      <c r="N131" s="530">
        <v>0</v>
      </c>
    </row>
    <row r="132" spans="3:16" ht="17" thickBot="1">
      <c r="C132" s="547" t="s">
        <v>256</v>
      </c>
      <c r="D132" s="548"/>
      <c r="E132" s="554">
        <v>-6.625</v>
      </c>
      <c r="F132" s="554">
        <v>-23.335999999999999</v>
      </c>
      <c r="G132" s="554">
        <v>-17.170000000000002</v>
      </c>
      <c r="H132" s="554">
        <v>-29.460999999999999</v>
      </c>
      <c r="I132" s="554">
        <v>-33.186</v>
      </c>
      <c r="J132" s="555">
        <f ca="1">SUM(J128:J131)</f>
        <v>-33.038614693769738</v>
      </c>
      <c r="K132" s="555">
        <f ca="1">SUM(K128:K131)</f>
        <v>-93.755046361123647</v>
      </c>
      <c r="L132" s="555">
        <f ca="1">SUM(L128:L131)</f>
        <v>-185.22189691354183</v>
      </c>
      <c r="M132" s="555">
        <f ca="1">SUM(M128:M131)</f>
        <v>-340.75477297633341</v>
      </c>
      <c r="N132" s="556">
        <f ca="1">SUM(N128:N131)</f>
        <v>-628.56988977990613</v>
      </c>
      <c r="P132" s="516"/>
    </row>
    <row r="133" spans="3:16">
      <c r="C133" s="551" t="s">
        <v>250</v>
      </c>
      <c r="P133" s="516"/>
    </row>
    <row r="134" spans="3:16">
      <c r="C134" s="536" t="s">
        <v>257</v>
      </c>
      <c r="D134" s="552"/>
      <c r="E134" s="552"/>
      <c r="F134" s="552"/>
      <c r="G134" s="552"/>
      <c r="H134" s="552"/>
      <c r="I134" s="552"/>
      <c r="J134" s="552"/>
      <c r="K134" s="552"/>
      <c r="L134" s="552"/>
      <c r="M134" s="552"/>
      <c r="N134" s="552"/>
    </row>
    <row r="135" spans="3:16">
      <c r="C135" s="557" t="s">
        <v>258</v>
      </c>
      <c r="E135" s="476">
        <v>-136</v>
      </c>
      <c r="F135" s="476">
        <v>-200</v>
      </c>
      <c r="G135" s="476">
        <v>-1054</v>
      </c>
      <c r="H135" s="476">
        <v>-804</v>
      </c>
      <c r="I135" s="476">
        <v>-681</v>
      </c>
      <c r="J135" s="558">
        <f ca="1">'Debt &amp; Equity'!M17</f>
        <v>-316.89600000000002</v>
      </c>
      <c r="K135" s="558">
        <f ca="1">'Debt &amp; Equity'!N17</f>
        <v>-416.87314180425602</v>
      </c>
      <c r="L135" s="558">
        <f ca="1">'Debt &amp; Equity'!O17</f>
        <v>-76.973809797179996</v>
      </c>
      <c r="M135" s="558">
        <f ca="1">'Debt &amp; Equity'!P17</f>
        <v>-164.12176299004079</v>
      </c>
      <c r="N135" s="558">
        <f ca="1">'Debt &amp; Equity'!Q17</f>
        <v>-225.99810283825741</v>
      </c>
    </row>
    <row r="136" spans="3:16">
      <c r="C136" s="557" t="s">
        <v>259</v>
      </c>
      <c r="E136" s="559"/>
      <c r="F136" s="559"/>
      <c r="G136" s="559"/>
      <c r="H136" s="559"/>
      <c r="I136" s="559"/>
      <c r="J136" s="558">
        <f ca="1">'Debt &amp; Equity'!M16</f>
        <v>416.87314180425602</v>
      </c>
      <c r="K136" s="558">
        <f ca="1">'Debt &amp; Equity'!N16</f>
        <v>76.973809797179996</v>
      </c>
      <c r="L136" s="558">
        <f ca="1">'Debt &amp; Equity'!O16</f>
        <v>164.12176299004079</v>
      </c>
      <c r="M136" s="558">
        <f ca="1">'Debt &amp; Equity'!P16</f>
        <v>225.99810283825741</v>
      </c>
      <c r="N136" s="558">
        <f ca="1">'Debt &amp; Equity'!Q16</f>
        <v>254.37124731819591</v>
      </c>
      <c r="P136" s="543"/>
    </row>
    <row r="137" spans="3:16">
      <c r="C137" s="557" t="s">
        <v>260</v>
      </c>
      <c r="E137" s="541"/>
      <c r="F137" s="541"/>
      <c r="G137" s="541"/>
      <c r="H137" s="541"/>
      <c r="I137" s="541"/>
      <c r="J137" s="530">
        <v>0</v>
      </c>
      <c r="K137" s="530">
        <v>0</v>
      </c>
      <c r="L137" s="530">
        <v>0</v>
      </c>
      <c r="M137" s="530">
        <v>0</v>
      </c>
      <c r="N137" s="530">
        <v>0</v>
      </c>
    </row>
    <row r="138" spans="3:16">
      <c r="C138" s="557" t="s">
        <v>261</v>
      </c>
      <c r="E138" s="541"/>
      <c r="F138" s="541"/>
      <c r="G138" s="541"/>
      <c r="H138" s="541"/>
      <c r="I138" s="541"/>
      <c r="J138" s="530">
        <v>0</v>
      </c>
      <c r="K138" s="530">
        <v>0</v>
      </c>
      <c r="L138" s="530">
        <v>0</v>
      </c>
      <c r="M138" s="530">
        <v>0</v>
      </c>
      <c r="N138" s="530">
        <v>0</v>
      </c>
    </row>
    <row r="139" spans="3:16">
      <c r="C139" s="557" t="s">
        <v>262</v>
      </c>
      <c r="E139" s="541"/>
      <c r="F139" s="541"/>
      <c r="G139" s="541"/>
      <c r="H139" s="541"/>
      <c r="I139" s="541"/>
      <c r="J139" s="530">
        <v>0</v>
      </c>
      <c r="K139" s="530">
        <v>0</v>
      </c>
      <c r="L139" s="530">
        <v>0</v>
      </c>
      <c r="M139" s="530">
        <v>0</v>
      </c>
      <c r="N139" s="530">
        <v>0</v>
      </c>
    </row>
    <row r="140" spans="3:16" ht="17" thickBot="1">
      <c r="C140" s="557" t="s">
        <v>263</v>
      </c>
      <c r="E140" s="541"/>
      <c r="F140" s="541"/>
      <c r="G140" s="541"/>
      <c r="H140" s="541"/>
      <c r="I140" s="541"/>
      <c r="J140" s="558">
        <f ca="1">SUM(J74,J81)-SUM(I81,I74)</f>
        <v>3.1034089227904156</v>
      </c>
      <c r="K140" s="558">
        <f ca="1">SUM(K74,K81)-SUM(J81,J74)</f>
        <v>5.8239227208963964</v>
      </c>
      <c r="L140" s="558">
        <f ca="1">SUM(L74,L81)-SUM(K81,K74)</f>
        <v>11.205754408733785</v>
      </c>
      <c r="M140" s="558">
        <f ca="1">SUM(M74,M81)-SUM(L81,L74)</f>
        <v>20.048027593714234</v>
      </c>
      <c r="N140" s="558">
        <f ca="1">SUM(N74,N81)-SUM(M81,M74)</f>
        <v>36.563645784687665</v>
      </c>
    </row>
    <row r="141" spans="3:16" ht="17" thickBot="1">
      <c r="C141" s="547" t="s">
        <v>264</v>
      </c>
      <c r="D141" s="548"/>
      <c r="E141" s="343">
        <v>154.17500000000001</v>
      </c>
      <c r="F141" s="343">
        <v>123.322</v>
      </c>
      <c r="G141" s="343">
        <v>139.54400000000001</v>
      </c>
      <c r="H141" s="343">
        <v>227.91800000000001</v>
      </c>
      <c r="I141" s="343">
        <v>205.834</v>
      </c>
      <c r="J141" s="555">
        <f t="shared" ref="J141:N141" ca="1" si="32">SUM(J135:J140)</f>
        <v>103.08055072704643</v>
      </c>
      <c r="K141" s="555">
        <f t="shared" ca="1" si="32"/>
        <v>-334.07540928617965</v>
      </c>
      <c r="L141" s="555">
        <f t="shared" ca="1" si="32"/>
        <v>98.353707601594579</v>
      </c>
      <c r="M141" s="555">
        <f t="shared" ca="1" si="32"/>
        <v>81.924367441930855</v>
      </c>
      <c r="N141" s="556">
        <f t="shared" ca="1" si="32"/>
        <v>64.936790264626168</v>
      </c>
    </row>
    <row r="142" spans="3:16">
      <c r="C142" s="551" t="s">
        <v>250</v>
      </c>
    </row>
    <row r="143" spans="3:16">
      <c r="C143" s="536" t="s">
        <v>265</v>
      </c>
      <c r="D143" s="552"/>
      <c r="E143" s="552"/>
      <c r="F143" s="552"/>
      <c r="G143" s="552"/>
      <c r="H143" s="552"/>
      <c r="I143" s="552"/>
      <c r="J143" s="560"/>
      <c r="K143" s="560"/>
      <c r="L143" s="560"/>
      <c r="M143" s="560"/>
      <c r="N143" s="560"/>
    </row>
    <row r="144" spans="3:16">
      <c r="C144" s="561" t="s">
        <v>266</v>
      </c>
      <c r="D144" s="562"/>
      <c r="E144" s="563">
        <v>0</v>
      </c>
      <c r="F144" s="563">
        <v>0</v>
      </c>
      <c r="G144" s="563">
        <v>1.4E-2</v>
      </c>
      <c r="H144" s="563">
        <v>5.0000000000000001E-3</v>
      </c>
      <c r="I144" s="563">
        <v>-1.7000000000000001E-2</v>
      </c>
      <c r="J144" s="528">
        <v>9.5500000000000007</v>
      </c>
      <c r="K144" s="528">
        <v>0</v>
      </c>
      <c r="L144" s="528">
        <v>0</v>
      </c>
      <c r="M144" s="528">
        <v>0</v>
      </c>
      <c r="N144" s="528">
        <v>0</v>
      </c>
      <c r="P144" s="516"/>
    </row>
    <row r="145" spans="3:16">
      <c r="C145" s="564" t="s">
        <v>267</v>
      </c>
      <c r="E145" s="553">
        <f t="shared" ref="E145:I145" si="33">SUM(E144,E141,E132,E125)</f>
        <v>120.99100000000001</v>
      </c>
      <c r="F145" s="553">
        <f t="shared" si="33"/>
        <v>-16.161000000000001</v>
      </c>
      <c r="G145" s="553">
        <f t="shared" si="33"/>
        <v>-74.46899999999998</v>
      </c>
      <c r="H145" s="553">
        <f t="shared" si="33"/>
        <v>53.443999999999988</v>
      </c>
      <c r="I145" s="553">
        <f t="shared" si="33"/>
        <v>18.694999999999993</v>
      </c>
      <c r="J145" s="553">
        <f t="shared" ref="J145" ca="1" si="34">SUM(J144,J141,J132,J125)</f>
        <v>-42.25523450136609</v>
      </c>
      <c r="K145" s="553">
        <f t="shared" ref="K145" ca="1" si="35">SUM(K144,K141,K132,K125)</f>
        <v>781.51775713309303</v>
      </c>
      <c r="L145" s="553">
        <f t="shared" ref="L145" ca="1" si="36">SUM(L144,L141,L132,L125)</f>
        <v>2375.1444961269581</v>
      </c>
      <c r="M145" s="553">
        <f t="shared" ref="M145" ca="1" si="37">SUM(M144,M141,M132,M125)</f>
        <v>2911.9298567181722</v>
      </c>
      <c r="N145" s="553">
        <f t="shared" ref="N145" ca="1" si="38">SUM(N144,N141,N132,N125)</f>
        <v>3055.062512317525</v>
      </c>
      <c r="P145" s="516"/>
    </row>
    <row r="146" spans="3:16">
      <c r="C146" s="561" t="s">
        <v>268</v>
      </c>
      <c r="D146" s="562"/>
      <c r="E146" s="565"/>
      <c r="F146" s="566">
        <f t="shared" ref="F146:I146" si="39">E147</f>
        <v>121.85299999999999</v>
      </c>
      <c r="G146" s="566">
        <f t="shared" si="39"/>
        <v>104.831</v>
      </c>
      <c r="H146" s="566">
        <f t="shared" si="39"/>
        <v>17.076000000000001</v>
      </c>
      <c r="I146" s="566">
        <f t="shared" si="39"/>
        <v>69.472999999999999</v>
      </c>
      <c r="J146" s="566">
        <f>I147</f>
        <v>74.292000000000002</v>
      </c>
      <c r="K146" s="566">
        <f ca="1">J147</f>
        <v>32.036765498633912</v>
      </c>
      <c r="L146" s="566">
        <f ca="1">K147</f>
        <v>813.55452263172697</v>
      </c>
      <c r="M146" s="566">
        <f ca="1">L147</f>
        <v>3188.6990187586853</v>
      </c>
      <c r="N146" s="566">
        <f ca="1">M147</f>
        <v>6100.6288754768575</v>
      </c>
      <c r="P146" s="516"/>
    </row>
    <row r="147" spans="3:16">
      <c r="C147" s="564" t="s">
        <v>269</v>
      </c>
      <c r="E147" s="567">
        <f t="shared" ref="E147:H147" si="40">E48</f>
        <v>121.85299999999999</v>
      </c>
      <c r="F147" s="567">
        <f t="shared" si="40"/>
        <v>104.831</v>
      </c>
      <c r="G147" s="567">
        <f t="shared" si="40"/>
        <v>17.076000000000001</v>
      </c>
      <c r="H147" s="567">
        <f t="shared" si="40"/>
        <v>69.472999999999999</v>
      </c>
      <c r="I147" s="567">
        <f>I48</f>
        <v>74.292000000000002</v>
      </c>
      <c r="J147" s="567">
        <f ca="1">SUM(J145:J146)</f>
        <v>32.036765498633912</v>
      </c>
      <c r="K147" s="567">
        <f ca="1">SUM(K145:K146)</f>
        <v>813.55452263172697</v>
      </c>
      <c r="L147" s="567">
        <f ca="1">SUM(L145:L146)</f>
        <v>3188.6990187586853</v>
      </c>
      <c r="M147" s="567">
        <f ca="1">SUM(M145:M146)</f>
        <v>6100.6288754768575</v>
      </c>
      <c r="N147" s="567">
        <f ca="1">SUM(N145:N146)</f>
        <v>9155.6913877943825</v>
      </c>
      <c r="P147" s="516"/>
    </row>
    <row r="148" spans="3:16">
      <c r="P148" s="516"/>
    </row>
  </sheetData>
  <mergeCells count="2">
    <mergeCell ref="E5:I5"/>
    <mergeCell ref="J5:N5"/>
  </mergeCells>
  <conditionalFormatting sqref="Q49:Q55 Q59:Q64 Q71:Q76 Q80:Q83 Q89:Q95">
    <cfRule type="cellIs" dxfId="1" priority="1" operator="equal">
      <formula>"YES"</formula>
    </cfRule>
    <cfRule type="cellIs" dxfId="0" priority="2" operator="equal">
      <formula>"NO"</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00F19-11C3-4FDD-803B-62EDA58C4FCB}">
  <dimension ref="B1:P224"/>
  <sheetViews>
    <sheetView showGridLines="0" zoomScale="118" zoomScaleNormal="100" workbookViewId="0">
      <selection activeCell="F30" sqref="F30"/>
    </sheetView>
  </sheetViews>
  <sheetFormatPr baseColWidth="10" defaultColWidth="8.5" defaultRowHeight="16"/>
  <cols>
    <col min="1" max="1" width="2.5" style="57" customWidth="1"/>
    <col min="2" max="2" width="3.5" style="57" customWidth="1"/>
    <col min="3" max="3" width="55" style="57" customWidth="1"/>
    <col min="4" max="4" width="11.6640625" style="57" customWidth="1"/>
    <col min="5" max="5" width="10.6640625" style="57" bestFit="1" customWidth="1"/>
    <col min="6" max="10" width="11.1640625" style="57" bestFit="1" customWidth="1"/>
    <col min="11" max="11" width="12" style="57" customWidth="1"/>
    <col min="12" max="12" width="12.5" style="57" bestFit="1" customWidth="1"/>
    <col min="13" max="13" width="13.5" style="57" bestFit="1" customWidth="1"/>
    <col min="14" max="15" width="11.5" style="57" customWidth="1"/>
    <col min="16" max="16384" width="8.5" style="57"/>
  </cols>
  <sheetData>
    <row r="1" spans="2:16" ht="24">
      <c r="B1" s="369"/>
      <c r="C1" s="370" t="s">
        <v>32</v>
      </c>
      <c r="D1" s="373"/>
      <c r="E1" s="374"/>
      <c r="F1" s="374"/>
      <c r="G1" s="374"/>
      <c r="H1" s="374"/>
      <c r="I1" s="374"/>
      <c r="J1" s="374"/>
      <c r="K1" s="374"/>
      <c r="L1" s="374"/>
      <c r="M1" s="374"/>
      <c r="N1" s="374"/>
      <c r="O1" s="374"/>
    </row>
    <row r="2" spans="2:16">
      <c r="B2" s="369"/>
      <c r="C2" s="369"/>
      <c r="D2" s="374"/>
      <c r="E2" s="374"/>
      <c r="F2" s="374"/>
      <c r="G2" s="374"/>
      <c r="H2" s="374"/>
      <c r="I2" s="374"/>
      <c r="J2" s="374"/>
      <c r="K2" s="374"/>
      <c r="L2" s="374"/>
      <c r="M2" s="374"/>
      <c r="N2" s="374"/>
      <c r="O2" s="374"/>
    </row>
    <row r="3" spans="2:16">
      <c r="B3" s="369"/>
      <c r="C3" s="369" t="s">
        <v>33</v>
      </c>
      <c r="D3" s="374"/>
      <c r="E3" s="374"/>
      <c r="F3" s="374"/>
      <c r="G3" s="374"/>
      <c r="H3" s="374"/>
      <c r="I3" s="374"/>
      <c r="J3" s="374"/>
      <c r="K3" s="374"/>
      <c r="L3" s="374"/>
      <c r="M3" s="374"/>
      <c r="N3" s="374"/>
      <c r="O3" s="374"/>
    </row>
    <row r="4" spans="2:16">
      <c r="B4" s="369"/>
      <c r="C4" s="369" t="s">
        <v>34</v>
      </c>
      <c r="D4" s="374" t="str">
        <f>Cover!C11</f>
        <v>Base Case</v>
      </c>
      <c r="E4" s="374"/>
      <c r="F4" s="374"/>
      <c r="G4" s="374"/>
      <c r="H4" s="374"/>
      <c r="I4" s="374"/>
      <c r="J4" s="374"/>
      <c r="K4" s="374"/>
      <c r="L4" s="374"/>
      <c r="M4" s="374"/>
      <c r="N4" s="374"/>
      <c r="O4" s="374"/>
    </row>
    <row r="5" spans="2:16">
      <c r="B5" s="369"/>
      <c r="C5" s="369"/>
      <c r="D5" s="375"/>
      <c r="E5" s="375"/>
      <c r="F5" s="780" t="s">
        <v>35</v>
      </c>
      <c r="G5" s="780"/>
      <c r="H5" s="780"/>
      <c r="I5" s="780"/>
      <c r="J5" s="780"/>
      <c r="K5" s="780" t="s">
        <v>36</v>
      </c>
      <c r="L5" s="780"/>
      <c r="M5" s="780"/>
      <c r="N5" s="780"/>
      <c r="O5" s="780"/>
    </row>
    <row r="6" spans="2:16">
      <c r="B6" s="369"/>
      <c r="C6" s="369" t="s">
        <v>37</v>
      </c>
      <c r="D6" s="375"/>
      <c r="E6" s="375"/>
      <c r="F6" s="376">
        <v>20</v>
      </c>
      <c r="G6" s="376">
        <f t="shared" ref="G6:O6" si="0">F6+1</f>
        <v>21</v>
      </c>
      <c r="H6" s="376">
        <f t="shared" si="0"/>
        <v>22</v>
      </c>
      <c r="I6" s="376">
        <f t="shared" si="0"/>
        <v>23</v>
      </c>
      <c r="J6" s="376">
        <f t="shared" si="0"/>
        <v>24</v>
      </c>
      <c r="K6" s="377">
        <f t="shared" si="0"/>
        <v>25</v>
      </c>
      <c r="L6" s="377">
        <f t="shared" si="0"/>
        <v>26</v>
      </c>
      <c r="M6" s="377">
        <f t="shared" si="0"/>
        <v>27</v>
      </c>
      <c r="N6" s="377">
        <f t="shared" si="0"/>
        <v>28</v>
      </c>
      <c r="O6" s="377">
        <f t="shared" si="0"/>
        <v>29</v>
      </c>
      <c r="P6" s="58"/>
    </row>
    <row r="7" spans="2:16">
      <c r="C7" s="57" t="s">
        <v>270</v>
      </c>
    </row>
    <row r="8" spans="2:16">
      <c r="C8" s="57" t="s">
        <v>38</v>
      </c>
      <c r="F8" s="57">
        <v>366</v>
      </c>
      <c r="G8" s="57">
        <v>365</v>
      </c>
      <c r="H8" s="57">
        <v>365</v>
      </c>
      <c r="I8" s="57">
        <v>365</v>
      </c>
      <c r="J8" s="57">
        <v>366</v>
      </c>
      <c r="K8" s="57">
        <v>365</v>
      </c>
      <c r="L8" s="57">
        <v>365</v>
      </c>
      <c r="M8" s="57">
        <v>365</v>
      </c>
      <c r="N8" s="57">
        <v>366</v>
      </c>
      <c r="O8" s="57">
        <v>365</v>
      </c>
    </row>
    <row r="10" spans="2:16">
      <c r="B10" s="59"/>
      <c r="C10" s="375" t="s">
        <v>271</v>
      </c>
      <c r="D10" s="375"/>
      <c r="E10" s="374"/>
      <c r="F10" s="374"/>
      <c r="G10" s="374"/>
      <c r="H10" s="374"/>
      <c r="I10" s="374"/>
      <c r="J10" s="374"/>
      <c r="K10" s="374"/>
      <c r="L10" s="374"/>
      <c r="M10" s="374"/>
      <c r="N10" s="374"/>
      <c r="O10" s="374"/>
    </row>
    <row r="12" spans="2:16">
      <c r="C12" s="60" t="s">
        <v>40</v>
      </c>
      <c r="D12" s="60"/>
      <c r="E12" s="61"/>
      <c r="F12" s="182">
        <f>'3FS'!E13</f>
        <v>0.219</v>
      </c>
      <c r="G12" s="182">
        <f>'3FS'!F13</f>
        <v>4.5979999999999999</v>
      </c>
      <c r="H12" s="182">
        <f>'3FS'!G13</f>
        <v>17.923999999999999</v>
      </c>
      <c r="I12" s="182">
        <f>'3FS'!H13</f>
        <v>16.378</v>
      </c>
      <c r="J12" s="182">
        <f>'3FS'!I13</f>
        <v>15.606</v>
      </c>
      <c r="K12" s="182">
        <f>'3FS'!J13</f>
        <v>174.94326000000001</v>
      </c>
      <c r="L12" s="182">
        <f>'3FS'!K13</f>
        <v>769.7380979717999</v>
      </c>
      <c r="M12" s="182">
        <f>'3FS'!L13</f>
        <v>1641.2176299004077</v>
      </c>
      <c r="N12" s="182">
        <f>'3FS'!M13</f>
        <v>2259.9810283825741</v>
      </c>
      <c r="O12" s="182">
        <f>'3FS'!N13</f>
        <v>2543.712473181959</v>
      </c>
    </row>
    <row r="13" spans="2:16" s="65" customFormat="1">
      <c r="C13" s="65" t="s">
        <v>161</v>
      </c>
      <c r="F13" s="346"/>
      <c r="G13" s="65">
        <f t="shared" ref="G13:O13" si="1">G12/F12-1</f>
        <v>19.995433789954337</v>
      </c>
      <c r="H13" s="65">
        <f t="shared" si="1"/>
        <v>2.8982166159199654</v>
      </c>
      <c r="I13" s="65">
        <f t="shared" si="1"/>
        <v>-8.6253068511492947E-2</v>
      </c>
      <c r="J13" s="65">
        <f t="shared" si="1"/>
        <v>-4.7136402491146701E-2</v>
      </c>
      <c r="K13" s="65">
        <f t="shared" si="1"/>
        <v>10.210000000000001</v>
      </c>
      <c r="L13" s="65">
        <f t="shared" si="1"/>
        <v>3.3999299999999995</v>
      </c>
      <c r="M13" s="65">
        <f t="shared" si="1"/>
        <v>1.1321766899999997</v>
      </c>
      <c r="N13" s="65">
        <f t="shared" si="1"/>
        <v>0.37701483777000022</v>
      </c>
      <c r="O13" s="65">
        <f t="shared" si="1"/>
        <v>0.12554594097741001</v>
      </c>
    </row>
    <row r="15" spans="2:16">
      <c r="C15" s="375" t="s">
        <v>272</v>
      </c>
      <c r="D15" s="375"/>
      <c r="E15" s="374"/>
      <c r="F15" s="374"/>
      <c r="G15" s="374"/>
      <c r="H15" s="374"/>
      <c r="I15" s="374"/>
      <c r="J15" s="374"/>
      <c r="K15" s="374"/>
      <c r="L15" s="374"/>
      <c r="M15" s="374"/>
      <c r="N15" s="374"/>
      <c r="O15" s="374"/>
    </row>
    <row r="17" spans="3:15">
      <c r="C17" s="66" t="s">
        <v>273</v>
      </c>
      <c r="D17" s="66"/>
      <c r="E17" s="67"/>
      <c r="F17" s="288">
        <f>'3FS'!E16</f>
        <v>-5.5090000000000003</v>
      </c>
      <c r="G17" s="288">
        <f>'3FS'!F16</f>
        <v>-46.482999999999997</v>
      </c>
      <c r="H17" s="288">
        <f>'3FS'!G16</f>
        <v>-153.26</v>
      </c>
      <c r="I17" s="288">
        <f>'3FS'!H16</f>
        <v>-89.798000000000002</v>
      </c>
      <c r="J17" s="288">
        <f>'3FS'!I16</f>
        <v>-98.867000000000004</v>
      </c>
      <c r="K17" s="289">
        <f>K18*K$12</f>
        <v>-104.96595600000001</v>
      </c>
      <c r="L17" s="289">
        <f t="shared" ref="L17:O17" si="2">L18*L$12</f>
        <v>-442.59940633378488</v>
      </c>
      <c r="M17" s="289">
        <f t="shared" si="2"/>
        <v>-902.66969644522408</v>
      </c>
      <c r="N17" s="289">
        <f t="shared" si="2"/>
        <v>-1186.4900399008511</v>
      </c>
      <c r="O17" s="289">
        <f t="shared" si="2"/>
        <v>-1271.8562365909793</v>
      </c>
    </row>
    <row r="18" spans="3:15" s="65" customFormat="1">
      <c r="C18" s="703" t="s">
        <v>274</v>
      </c>
      <c r="D18" s="703"/>
      <c r="F18" s="65">
        <f>F17/F12</f>
        <v>-25.155251141552512</v>
      </c>
      <c r="G18" s="65">
        <f>G17/G12</f>
        <v>-10.109395389299696</v>
      </c>
      <c r="H18" s="65">
        <f>H17/H12</f>
        <v>-8.5505467529569295</v>
      </c>
      <c r="I18" s="65">
        <f>I17/I12</f>
        <v>-5.4828428379533518</v>
      </c>
      <c r="J18" s="65">
        <f>J17/J12</f>
        <v>-6.3351915929770604</v>
      </c>
      <c r="K18" s="65">
        <f>_xlfn.XLOOKUP($D$4,$C19:$C21,K19:K21)</f>
        <v>-0.6</v>
      </c>
      <c r="L18" s="65">
        <f t="shared" ref="L18:O18" si="3">_xlfn.XLOOKUP($D$4,$C19:$C21,L19:L21)</f>
        <v>-0.57499999999999996</v>
      </c>
      <c r="M18" s="65">
        <f t="shared" si="3"/>
        <v>-0.54999999999999993</v>
      </c>
      <c r="N18" s="65">
        <f t="shared" si="3"/>
        <v>-0.52499999999999991</v>
      </c>
      <c r="O18" s="65">
        <f t="shared" si="3"/>
        <v>-0.49999999999999989</v>
      </c>
    </row>
    <row r="19" spans="3:15" s="65" customFormat="1">
      <c r="C19" s="65" t="s">
        <v>112</v>
      </c>
      <c r="E19" s="9">
        <v>0.02</v>
      </c>
      <c r="K19" s="709">
        <f>K20+$E19</f>
        <v>-0.57999999999999996</v>
      </c>
      <c r="L19" s="709">
        <f t="shared" ref="L19:O19" si="4">L20+$E19</f>
        <v>-0.55499999999999994</v>
      </c>
      <c r="M19" s="709">
        <f t="shared" si="4"/>
        <v>-0.52999999999999992</v>
      </c>
      <c r="N19" s="709">
        <f t="shared" si="4"/>
        <v>-0.50499999999999989</v>
      </c>
      <c r="O19" s="709">
        <f t="shared" si="4"/>
        <v>-0.47999999999999987</v>
      </c>
    </row>
    <row r="20" spans="3:15" s="65" customFormat="1">
      <c r="C20" s="65" t="s">
        <v>12</v>
      </c>
      <c r="E20" s="285">
        <v>2.5000000000000001E-2</v>
      </c>
      <c r="K20" s="709">
        <v>-0.6</v>
      </c>
      <c r="L20" s="709">
        <f>K18+$E20</f>
        <v>-0.57499999999999996</v>
      </c>
      <c r="M20" s="709">
        <f t="shared" ref="M20:O20" si="5">L18+$E20</f>
        <v>-0.54999999999999993</v>
      </c>
      <c r="N20" s="709">
        <f t="shared" si="5"/>
        <v>-0.52499999999999991</v>
      </c>
      <c r="O20" s="709">
        <f t="shared" si="5"/>
        <v>-0.49999999999999989</v>
      </c>
    </row>
    <row r="21" spans="3:15" s="65" customFormat="1">
      <c r="C21" s="65" t="s">
        <v>113</v>
      </c>
      <c r="E21" s="9">
        <v>-0.02</v>
      </c>
      <c r="K21" s="709">
        <f>K20+$E21</f>
        <v>-0.62</v>
      </c>
      <c r="L21" s="709">
        <f t="shared" ref="L21:O21" si="6">L20+$E21</f>
        <v>-0.59499999999999997</v>
      </c>
      <c r="M21" s="709">
        <f t="shared" si="6"/>
        <v>-0.56999999999999995</v>
      </c>
      <c r="N21" s="709">
        <f t="shared" si="6"/>
        <v>-0.54499999999999993</v>
      </c>
      <c r="O21" s="709">
        <f t="shared" si="6"/>
        <v>-0.51999999999999991</v>
      </c>
    </row>
    <row r="23" spans="3:15">
      <c r="C23" s="375" t="s">
        <v>275</v>
      </c>
      <c r="D23" s="375"/>
      <c r="E23" s="374"/>
      <c r="F23" s="374"/>
      <c r="G23" s="374"/>
      <c r="H23" s="374"/>
      <c r="I23" s="374"/>
      <c r="J23" s="374"/>
      <c r="K23" s="374"/>
      <c r="L23" s="374"/>
      <c r="M23" s="374"/>
      <c r="N23" s="374"/>
      <c r="O23" s="374"/>
    </row>
    <row r="25" spans="3:15">
      <c r="C25" s="66" t="s">
        <v>170</v>
      </c>
      <c r="D25" s="66"/>
      <c r="E25" s="67"/>
      <c r="F25" s="288">
        <f>'3FS'!E25</f>
        <v>-32.126999999999995</v>
      </c>
      <c r="G25" s="288">
        <f>'3FS'!F25</f>
        <v>-62.420999999999999</v>
      </c>
      <c r="H25" s="288">
        <f>'3FS'!G25</f>
        <v>-79.075999999999993</v>
      </c>
      <c r="I25" s="288">
        <f>'3FS'!H25</f>
        <v>-72.358000000000004</v>
      </c>
      <c r="J25" s="288">
        <f>'3FS'!I25</f>
        <v>-82.804999999999993</v>
      </c>
      <c r="K25" s="289">
        <f>SUM(K27,K39,K33)</f>
        <v>-87.471630000000005</v>
      </c>
      <c r="L25" s="289">
        <f t="shared" ref="L25:O25" si="7">SUM(L27,L39,L33)</f>
        <v>-296.349167719143</v>
      </c>
      <c r="M25" s="289">
        <f t="shared" si="7"/>
        <v>-443.12876007311019</v>
      </c>
      <c r="N25" s="289">
        <f t="shared" si="7"/>
        <v>-350.29705939929914</v>
      </c>
      <c r="O25" s="289">
        <f t="shared" si="7"/>
        <v>-101.74849892727852</v>
      </c>
    </row>
    <row r="26" spans="3:15">
      <c r="F26" s="65"/>
      <c r="G26" s="65"/>
      <c r="H26" s="65"/>
      <c r="I26" s="65"/>
      <c r="J26" s="65"/>
      <c r="K26" s="65"/>
      <c r="L26" s="65"/>
      <c r="M26" s="65"/>
      <c r="N26" s="65"/>
      <c r="O26" s="65"/>
    </row>
    <row r="27" spans="3:15">
      <c r="C27" s="68" t="s">
        <v>167</v>
      </c>
      <c r="D27" s="68"/>
      <c r="E27" s="68"/>
      <c r="F27" s="290">
        <f>'3FS'!E22</f>
        <v>-17.620999999999999</v>
      </c>
      <c r="G27" s="290">
        <f>'3FS'!F22</f>
        <v>-42.997999999999998</v>
      </c>
      <c r="H27" s="290">
        <f>'3FS'!G22</f>
        <v>-60.622999999999998</v>
      </c>
      <c r="I27" s="290">
        <f>'3FS'!H22</f>
        <v>-53.65</v>
      </c>
      <c r="J27" s="290">
        <f>'3FS'!I22</f>
        <v>-60.046999999999997</v>
      </c>
      <c r="K27" s="156">
        <f>K28*K$12</f>
        <v>-69.977304000000004</v>
      </c>
      <c r="L27" s="156">
        <f t="shared" ref="L27:O27" si="8">L28*L$12</f>
        <v>-238.61881037125801</v>
      </c>
      <c r="M27" s="156">
        <f t="shared" si="8"/>
        <v>-361.06787857808979</v>
      </c>
      <c r="N27" s="156">
        <f t="shared" si="8"/>
        <v>-293.79753368973479</v>
      </c>
      <c r="O27" s="156">
        <f t="shared" si="8"/>
        <v>-101.74849892727852</v>
      </c>
    </row>
    <row r="28" spans="3:15" s="65" customFormat="1">
      <c r="C28" s="65" t="s">
        <v>274</v>
      </c>
      <c r="F28" s="65">
        <f>F27/F12</f>
        <v>-80.461187214611869</v>
      </c>
      <c r="G28" s="65">
        <f>G27/G12</f>
        <v>-9.3514571552849066</v>
      </c>
      <c r="H28" s="65">
        <f>H27/H12</f>
        <v>-3.3822249497879939</v>
      </c>
      <c r="I28" s="65">
        <f>I27/I12</f>
        <v>-3.2757357430699718</v>
      </c>
      <c r="J28" s="65">
        <f>J27/J12</f>
        <v>-3.8476867871331537</v>
      </c>
      <c r="K28" s="65">
        <f>_xlfn.XLOOKUP($D$4,$C29:$C31,K29:K31)</f>
        <v>-0.4</v>
      </c>
      <c r="L28" s="65">
        <f t="shared" ref="L28:O28" si="9">_xlfn.XLOOKUP($D$4,$C29:$C31,L29:L31)</f>
        <v>-0.31000000000000005</v>
      </c>
      <c r="M28" s="65">
        <f t="shared" si="9"/>
        <v>-0.22000000000000006</v>
      </c>
      <c r="N28" s="65">
        <f t="shared" si="9"/>
        <v>-0.13000000000000006</v>
      </c>
      <c r="O28" s="65">
        <f t="shared" si="9"/>
        <v>-4.0000000000000063E-2</v>
      </c>
    </row>
    <row r="29" spans="3:15" s="65" customFormat="1">
      <c r="C29" s="65" t="s">
        <v>112</v>
      </c>
      <c r="E29" s="285">
        <v>0.01</v>
      </c>
      <c r="K29" s="709">
        <f>K30+$E29</f>
        <v>-0.39</v>
      </c>
      <c r="L29" s="709">
        <f t="shared" ref="L29" si="10">L30+$E29</f>
        <v>-0.30000000000000004</v>
      </c>
      <c r="M29" s="709">
        <f t="shared" ref="M29" si="11">M30+$E29</f>
        <v>-0.21000000000000005</v>
      </c>
      <c r="N29" s="709">
        <f t="shared" ref="N29" si="12">N30+$E29</f>
        <v>-0.12000000000000006</v>
      </c>
      <c r="O29" s="709">
        <f t="shared" ref="O29" si="13">O30+$E29</f>
        <v>-3.0000000000000061E-2</v>
      </c>
    </row>
    <row r="30" spans="3:15" s="65" customFormat="1">
      <c r="C30" s="65" t="s">
        <v>12</v>
      </c>
      <c r="E30" s="285">
        <v>0.09</v>
      </c>
      <c r="K30" s="709">
        <v>-0.4</v>
      </c>
      <c r="L30" s="709">
        <f>K28+$E30</f>
        <v>-0.31000000000000005</v>
      </c>
      <c r="M30" s="709">
        <f t="shared" ref="M30:O30" si="14">L28+$E30</f>
        <v>-0.22000000000000006</v>
      </c>
      <c r="N30" s="709">
        <f t="shared" si="14"/>
        <v>-0.13000000000000006</v>
      </c>
      <c r="O30" s="709">
        <f t="shared" si="14"/>
        <v>-4.0000000000000063E-2</v>
      </c>
    </row>
    <row r="31" spans="3:15" s="65" customFormat="1">
      <c r="C31" s="65" t="s">
        <v>113</v>
      </c>
      <c r="E31" s="285">
        <v>-0.01</v>
      </c>
      <c r="K31" s="709">
        <f>K30+$E31</f>
        <v>-0.41000000000000003</v>
      </c>
      <c r="L31" s="709">
        <f t="shared" ref="L31" si="15">L30+$E31</f>
        <v>-0.32000000000000006</v>
      </c>
      <c r="M31" s="709">
        <f t="shared" ref="M31" si="16">M30+$E31</f>
        <v>-0.23000000000000007</v>
      </c>
      <c r="N31" s="709">
        <f t="shared" ref="N31" si="17">N30+$E31</f>
        <v>-0.14000000000000007</v>
      </c>
      <c r="O31" s="709">
        <f t="shared" ref="O31" si="18">O30+$E31</f>
        <v>-5.0000000000000065E-2</v>
      </c>
    </row>
    <row r="32" spans="3:15" s="65" customFormat="1">
      <c r="E32" s="368"/>
      <c r="K32" s="704"/>
      <c r="L32" s="704"/>
      <c r="M32" s="704"/>
      <c r="N32" s="704"/>
      <c r="O32" s="704"/>
    </row>
    <row r="33" spans="2:15" s="65" customFormat="1">
      <c r="C33" s="68" t="s">
        <v>168</v>
      </c>
      <c r="D33" s="68"/>
      <c r="E33" s="68"/>
      <c r="F33" s="290">
        <f>'3FS'!E23</f>
        <v>-13.593</v>
      </c>
      <c r="G33" s="290">
        <f>'3FS'!F23</f>
        <v>-19.154</v>
      </c>
      <c r="H33" s="290">
        <f>'3FS'!G23</f>
        <v>-18.469000000000001</v>
      </c>
      <c r="I33" s="290">
        <f>'3FS'!H23</f>
        <v>-18.707999999999998</v>
      </c>
      <c r="J33" s="290">
        <f>'3FS'!I23</f>
        <v>-22.757999999999999</v>
      </c>
      <c r="K33" s="156">
        <f>K34*K$12</f>
        <v>-17.494326000000001</v>
      </c>
      <c r="L33" s="156">
        <f t="shared" ref="L33:O33" si="19">L34*L$12</f>
        <v>-57.730357347885004</v>
      </c>
      <c r="M33" s="156">
        <f t="shared" si="19"/>
        <v>-82.060881495020396</v>
      </c>
      <c r="N33" s="156">
        <f t="shared" si="19"/>
        <v>-56.499525709564374</v>
      </c>
      <c r="O33" s="156">
        <f t="shared" si="19"/>
        <v>0</v>
      </c>
    </row>
    <row r="34" spans="2:15" s="65" customFormat="1">
      <c r="C34" s="65" t="s">
        <v>274</v>
      </c>
      <c r="F34" s="65">
        <f>F33/F12</f>
        <v>-62.06849315068493</v>
      </c>
      <c r="G34" s="65">
        <f t="shared" ref="G34:J34" si="20">G33/G12</f>
        <v>-4.1657242279251854</v>
      </c>
      <c r="H34" s="65">
        <f t="shared" si="20"/>
        <v>-1.0304061593394334</v>
      </c>
      <c r="I34" s="65">
        <f t="shared" si="20"/>
        <v>-1.1422640126999632</v>
      </c>
      <c r="J34" s="65">
        <f t="shared" si="20"/>
        <v>-1.4582852748942714</v>
      </c>
      <c r="K34" s="65">
        <f>_xlfn.XLOOKUP($D$4,$C35:$C37,K35:K37)</f>
        <v>-0.1</v>
      </c>
      <c r="L34" s="65">
        <f t="shared" ref="L34:O34" si="21">_xlfn.XLOOKUP($D$4,$C35:$C37,L35:L37)</f>
        <v>-7.5000000000000011E-2</v>
      </c>
      <c r="M34" s="65">
        <f t="shared" si="21"/>
        <v>-5.000000000000001E-2</v>
      </c>
      <c r="N34" s="65">
        <f t="shared" si="21"/>
        <v>-2.5000000000000008E-2</v>
      </c>
      <c r="O34" s="65">
        <f t="shared" si="21"/>
        <v>0</v>
      </c>
    </row>
    <row r="35" spans="2:15" s="65" customFormat="1">
      <c r="C35" s="65" t="s">
        <v>112</v>
      </c>
      <c r="E35" s="285">
        <v>5.0000000000000001E-3</v>
      </c>
      <c r="K35" s="709">
        <f>K36+$E35</f>
        <v>-9.5000000000000001E-2</v>
      </c>
      <c r="L35" s="709">
        <f t="shared" ref="L35" si="22">L36+$E35</f>
        <v>-7.0000000000000007E-2</v>
      </c>
      <c r="M35" s="709">
        <f t="shared" ref="M35" si="23">M36+$E35</f>
        <v>-4.5000000000000012E-2</v>
      </c>
      <c r="N35" s="709">
        <f t="shared" ref="N35" si="24">N36+$E35</f>
        <v>-2.0000000000000007E-2</v>
      </c>
      <c r="O35" s="709">
        <f t="shared" ref="O35" si="25">O36+$E35</f>
        <v>5.0000000000000001E-3</v>
      </c>
    </row>
    <row r="36" spans="2:15" s="65" customFormat="1">
      <c r="C36" s="65" t="s">
        <v>12</v>
      </c>
      <c r="E36" s="285">
        <v>2.5000000000000001E-2</v>
      </c>
      <c r="K36" s="709">
        <v>-0.1</v>
      </c>
      <c r="L36" s="709">
        <f>K34+$E36</f>
        <v>-7.5000000000000011E-2</v>
      </c>
      <c r="M36" s="709">
        <f t="shared" ref="M36:O36" si="26">L34+$E36</f>
        <v>-5.000000000000001E-2</v>
      </c>
      <c r="N36" s="709">
        <f t="shared" si="26"/>
        <v>-2.5000000000000008E-2</v>
      </c>
      <c r="O36" s="709">
        <f t="shared" si="26"/>
        <v>0</v>
      </c>
    </row>
    <row r="37" spans="2:15" s="65" customFormat="1">
      <c r="C37" s="65" t="s">
        <v>113</v>
      </c>
      <c r="E37" s="285">
        <v>-5.0000000000000001E-3</v>
      </c>
      <c r="K37" s="709">
        <f>K36+$E37</f>
        <v>-0.10500000000000001</v>
      </c>
      <c r="L37" s="709">
        <f t="shared" ref="L37" si="27">L36+$E37</f>
        <v>-8.0000000000000016E-2</v>
      </c>
      <c r="M37" s="709">
        <f t="shared" ref="M37" si="28">M36+$E37</f>
        <v>-5.5000000000000007E-2</v>
      </c>
      <c r="N37" s="709">
        <f t="shared" ref="N37" si="29">N36+$E37</f>
        <v>-3.0000000000000009E-2</v>
      </c>
      <c r="O37" s="709">
        <f t="shared" ref="O37" si="30">O36+$E37</f>
        <v>-5.0000000000000001E-3</v>
      </c>
    </row>
    <row r="38" spans="2:15" ht="17" customHeight="1"/>
    <row r="39" spans="2:15">
      <c r="C39" s="68" t="s">
        <v>276</v>
      </c>
      <c r="D39" s="68"/>
      <c r="E39" s="68"/>
      <c r="F39" s="290">
        <f>'3FS'!E24</f>
        <v>-0.91300000000000003</v>
      </c>
      <c r="G39" s="290">
        <f>'3FS'!F24</f>
        <v>-0.26900000000000002</v>
      </c>
      <c r="H39" s="290">
        <f>'3FS'!G24</f>
        <v>1.6E-2</v>
      </c>
      <c r="I39" s="290">
        <f>'3FS'!H24</f>
        <v>0</v>
      </c>
      <c r="J39" s="290">
        <f>'3FS'!I24</f>
        <v>0</v>
      </c>
      <c r="K39" s="156">
        <f>K40*K$12</f>
        <v>0</v>
      </c>
      <c r="L39" s="156">
        <f t="shared" ref="L39:O39" si="31">L40*L$12</f>
        <v>0</v>
      </c>
      <c r="M39" s="156">
        <f t="shared" si="31"/>
        <v>0</v>
      </c>
      <c r="N39" s="156">
        <f t="shared" si="31"/>
        <v>0</v>
      </c>
      <c r="O39" s="156">
        <f t="shared" si="31"/>
        <v>0</v>
      </c>
    </row>
    <row r="40" spans="2:15" s="65" customFormat="1">
      <c r="C40" s="65" t="s">
        <v>274</v>
      </c>
      <c r="F40" s="65">
        <f>F39/F12</f>
        <v>-4.1689497716894977</v>
      </c>
      <c r="G40" s="65">
        <f>G39/G12</f>
        <v>-5.8503697259678127E-2</v>
      </c>
      <c r="H40" s="65">
        <f>H39/H12</f>
        <v>8.9265788886409283E-4</v>
      </c>
      <c r="I40" s="65">
        <v>0</v>
      </c>
      <c r="J40" s="65">
        <v>0</v>
      </c>
      <c r="K40" s="65">
        <f>_xlfn.XLOOKUP($D$4,$C41:$C43,K41:K43)</f>
        <v>0</v>
      </c>
      <c r="L40" s="65">
        <f t="shared" ref="L40:O40" si="32">_xlfn.XLOOKUP($D$4,$C41:$C43,L41:L43)</f>
        <v>0</v>
      </c>
      <c r="M40" s="65">
        <f t="shared" si="32"/>
        <v>0</v>
      </c>
      <c r="N40" s="65">
        <f t="shared" si="32"/>
        <v>0</v>
      </c>
      <c r="O40" s="65">
        <f t="shared" si="32"/>
        <v>0</v>
      </c>
    </row>
    <row r="41" spans="2:15" s="65" customFormat="1">
      <c r="C41" s="65" t="s">
        <v>112</v>
      </c>
      <c r="E41" s="285">
        <v>0.01</v>
      </c>
      <c r="K41" s="285">
        <f>K42+$E$41</f>
        <v>0.01</v>
      </c>
      <c r="L41" s="285">
        <f t="shared" ref="L41:O41" si="33">L42+$E$41</f>
        <v>0.01</v>
      </c>
      <c r="M41" s="285">
        <f t="shared" si="33"/>
        <v>0.01</v>
      </c>
      <c r="N41" s="285">
        <f t="shared" si="33"/>
        <v>0.01</v>
      </c>
      <c r="O41" s="285">
        <f t="shared" si="33"/>
        <v>0.01</v>
      </c>
    </row>
    <row r="42" spans="2:15" s="65" customFormat="1">
      <c r="C42" s="65" t="s">
        <v>12</v>
      </c>
      <c r="E42" s="710">
        <v>0</v>
      </c>
      <c r="K42" s="285">
        <f>MEDIAN($F$40:$J$40)</f>
        <v>0</v>
      </c>
      <c r="L42" s="285">
        <f>K42</f>
        <v>0</v>
      </c>
      <c r="M42" s="285">
        <f>L42</f>
        <v>0</v>
      </c>
      <c r="N42" s="285">
        <f>M42</f>
        <v>0</v>
      </c>
      <c r="O42" s="285">
        <f>N42</f>
        <v>0</v>
      </c>
    </row>
    <row r="43" spans="2:15" s="65" customFormat="1">
      <c r="C43" s="65" t="s">
        <v>113</v>
      </c>
      <c r="E43" s="285">
        <v>-0.01</v>
      </c>
      <c r="K43" s="285">
        <f>K42+$E$43</f>
        <v>-0.01</v>
      </c>
      <c r="L43" s="285">
        <f>L42+$E$43</f>
        <v>-0.01</v>
      </c>
      <c r="M43" s="285">
        <f>M42+$E$43</f>
        <v>-0.01</v>
      </c>
      <c r="N43" s="285">
        <f>N42+$E$43</f>
        <v>-0.01</v>
      </c>
      <c r="O43" s="285">
        <f>O42+$E$43</f>
        <v>-0.01</v>
      </c>
    </row>
    <row r="45" spans="2:15">
      <c r="B45" s="69"/>
      <c r="C45" s="375" t="s">
        <v>277</v>
      </c>
      <c r="D45" s="375"/>
      <c r="E45" s="374"/>
      <c r="F45" s="374"/>
      <c r="G45" s="374"/>
      <c r="H45" s="374"/>
      <c r="I45" s="374"/>
      <c r="J45" s="374"/>
      <c r="K45" s="374"/>
      <c r="L45" s="374"/>
      <c r="M45" s="374"/>
      <c r="N45" s="374"/>
      <c r="O45" s="374"/>
    </row>
    <row r="47" spans="2:15">
      <c r="C47" s="379" t="s">
        <v>278</v>
      </c>
      <c r="D47" s="379"/>
      <c r="E47" s="380"/>
      <c r="F47" s="381"/>
      <c r="G47" s="381"/>
      <c r="H47" s="381"/>
      <c r="I47" s="381"/>
      <c r="J47" s="381"/>
      <c r="K47" s="382"/>
      <c r="L47" s="382"/>
      <c r="M47" s="382"/>
      <c r="N47" s="382"/>
      <c r="O47" s="382"/>
    </row>
    <row r="49" spans="3:16">
      <c r="C49" s="7" t="s">
        <v>279</v>
      </c>
      <c r="D49" s="7"/>
      <c r="E49" s="68"/>
      <c r="F49" s="290">
        <f>'3FS'!E33</f>
        <v>-23.821000000000002</v>
      </c>
      <c r="G49" s="290">
        <f>'3FS'!F33</f>
        <v>-5.2009999999999996</v>
      </c>
      <c r="H49" s="290">
        <f>'3FS'!G33</f>
        <v>-18.812999999999999</v>
      </c>
      <c r="I49" s="290">
        <f>'3FS'!H33</f>
        <v>-56.235999999999997</v>
      </c>
      <c r="J49" s="290">
        <f>'3FS'!I33</f>
        <v>-28.216999999999999</v>
      </c>
      <c r="K49" s="162">
        <f>K50*K12</f>
        <v>-316.31256999999999</v>
      </c>
      <c r="L49" s="162">
        <f>L50*L12</f>
        <v>-1391.7531661200999</v>
      </c>
      <c r="M49" s="162">
        <f>M50*M12</f>
        <v>-2967.4636590349742</v>
      </c>
      <c r="N49" s="162">
        <f>N50*N12</f>
        <v>-4086.2414890344157</v>
      </c>
      <c r="O49" s="162">
        <f>O50*O12</f>
        <v>-4599.2525218361743</v>
      </c>
    </row>
    <row r="50" spans="3:16" s="65" customFormat="1">
      <c r="C50" s="65" t="s">
        <v>274</v>
      </c>
      <c r="F50" s="65">
        <f>F49/F12</f>
        <v>-108.77168949771691</v>
      </c>
      <c r="G50" s="65">
        <f>G49/G12</f>
        <v>-1.1311439756415833</v>
      </c>
      <c r="H50" s="65">
        <f>H49/H12</f>
        <v>-1.0495983039500112</v>
      </c>
      <c r="I50" s="65">
        <f>I49/I12</f>
        <v>-3.4336304799120771</v>
      </c>
      <c r="J50" s="65">
        <f>J49/J12</f>
        <v>-1.8080866333461489</v>
      </c>
      <c r="K50" s="284">
        <f>MEDIAN(F50:J50)</f>
        <v>-1.8080866333461489</v>
      </c>
      <c r="L50" s="284">
        <f>MEDIAN(G50:K50)</f>
        <v>-1.8080866333461489</v>
      </c>
      <c r="M50" s="284">
        <f>MEDIAN(H50:L50)</f>
        <v>-1.8080866333461489</v>
      </c>
      <c r="N50" s="284">
        <f>MEDIAN(I50:M50)</f>
        <v>-1.8080866333461489</v>
      </c>
      <c r="O50" s="284">
        <f>MEDIAN(J50:N50)</f>
        <v>-1.8080866333461489</v>
      </c>
    </row>
    <row r="52" spans="3:16">
      <c r="C52" s="68" t="s">
        <v>174</v>
      </c>
      <c r="D52" s="68"/>
      <c r="E52" s="68"/>
      <c r="F52" s="290">
        <f>'3FS'!E34</f>
        <v>7.6999999999999999E-2</v>
      </c>
      <c r="G52" s="290">
        <f>'3FS'!F34</f>
        <v>14.436</v>
      </c>
      <c r="H52" s="290">
        <f>'3FS'!G34</f>
        <v>11.250999999999999</v>
      </c>
      <c r="I52" s="290">
        <f>'3FS'!H34</f>
        <v>-16.792000000000002</v>
      </c>
      <c r="J52" s="290">
        <f>'3FS'!I34</f>
        <v>-584.73400000000004</v>
      </c>
      <c r="K52" s="162">
        <f>K53*K12</f>
        <v>0</v>
      </c>
      <c r="L52" s="162">
        <f>L53*L12</f>
        <v>0</v>
      </c>
      <c r="M52" s="162">
        <f>M53*M12</f>
        <v>0</v>
      </c>
      <c r="N52" s="162">
        <f>N53*N12</f>
        <v>0</v>
      </c>
      <c r="O52" s="162">
        <f>O53*O12</f>
        <v>0</v>
      </c>
    </row>
    <row r="53" spans="3:16" s="65" customFormat="1">
      <c r="C53" s="65" t="s">
        <v>274</v>
      </c>
      <c r="F53" s="65">
        <f>F52/F12</f>
        <v>0.35159817351598172</v>
      </c>
      <c r="G53" s="65">
        <f>G52/G12</f>
        <v>3.1396259243149198</v>
      </c>
      <c r="H53" s="65">
        <f>H52/H12</f>
        <v>0.62770586922561922</v>
      </c>
      <c r="I53" s="65">
        <f>I52/I12</f>
        <v>-1.0252778116986201</v>
      </c>
      <c r="J53" s="65">
        <f>J52/J12</f>
        <v>-37.468537741894146</v>
      </c>
      <c r="K53" s="284">
        <v>0</v>
      </c>
      <c r="L53" s="284">
        <f>K53</f>
        <v>0</v>
      </c>
      <c r="M53" s="284">
        <f>L53</f>
        <v>0</v>
      </c>
      <c r="N53" s="284">
        <f>M53</f>
        <v>0</v>
      </c>
      <c r="O53" s="284">
        <f>N53</f>
        <v>0</v>
      </c>
    </row>
    <row r="54" spans="3:16" s="65" customFormat="1">
      <c r="K54" s="360"/>
      <c r="L54" s="360"/>
      <c r="M54" s="360"/>
      <c r="N54" s="360"/>
      <c r="O54" s="360"/>
    </row>
    <row r="55" spans="3:16">
      <c r="C55" s="68" t="s">
        <v>175</v>
      </c>
      <c r="D55" s="68"/>
      <c r="E55" s="68"/>
      <c r="F55" s="291" t="str">
        <f>'3FS'!E35</f>
        <v>-</v>
      </c>
      <c r="G55" s="291">
        <f>'3FS'!F35</f>
        <v>-0.1</v>
      </c>
      <c r="H55" s="291">
        <f>'3FS'!G35</f>
        <v>-6.8</v>
      </c>
      <c r="I55" s="291">
        <f>'3FS'!H35</f>
        <v>-7.2</v>
      </c>
      <c r="J55" s="291">
        <f>'3FS'!I35</f>
        <v>-9.1</v>
      </c>
      <c r="K55" s="162">
        <f>K56*K18</f>
        <v>0</v>
      </c>
      <c r="L55" s="162">
        <f>L56*L18</f>
        <v>0</v>
      </c>
      <c r="M55" s="162">
        <f>M56*M18</f>
        <v>0</v>
      </c>
      <c r="N55" s="162">
        <f>N56*N18</f>
        <v>0</v>
      </c>
      <c r="O55" s="162">
        <f>O56*O18</f>
        <v>0</v>
      </c>
      <c r="P55" s="65"/>
    </row>
    <row r="56" spans="3:16" s="65" customFormat="1">
      <c r="C56" s="65" t="s">
        <v>274</v>
      </c>
      <c r="F56" s="65">
        <v>0</v>
      </c>
      <c r="G56" s="65">
        <v>0</v>
      </c>
      <c r="H56" s="65">
        <f>H55/H12</f>
        <v>-0.37937960276723948</v>
      </c>
      <c r="I56" s="65">
        <v>0</v>
      </c>
      <c r="J56" s="65">
        <v>0</v>
      </c>
      <c r="K56" s="284">
        <f>MEDIAN($F$56:$J$56)</f>
        <v>0</v>
      </c>
      <c r="L56" s="284">
        <f>MEDIAN($F$56:$J$56)</f>
        <v>0</v>
      </c>
      <c r="M56" s="284">
        <f>MEDIAN($F$56:$J$56)</f>
        <v>0</v>
      </c>
      <c r="N56" s="284">
        <f>MEDIAN($F$56:$J$56)</f>
        <v>0</v>
      </c>
      <c r="O56" s="284">
        <f>MEDIAN($F$56:$J$56)</f>
        <v>0</v>
      </c>
    </row>
    <row r="57" spans="3:16">
      <c r="F57" s="65"/>
      <c r="G57" s="65"/>
      <c r="H57" s="65"/>
      <c r="I57" s="65"/>
      <c r="J57" s="65"/>
      <c r="K57" s="65"/>
      <c r="L57" s="65"/>
      <c r="M57" s="65"/>
      <c r="N57" s="65"/>
      <c r="O57" s="65"/>
      <c r="P57" s="65"/>
    </row>
    <row r="58" spans="3:16">
      <c r="C58" s="68" t="s">
        <v>176</v>
      </c>
      <c r="D58" s="68"/>
      <c r="E58" s="68"/>
      <c r="F58" s="291">
        <f>'3FS'!E36</f>
        <v>-9.4819999999999993</v>
      </c>
      <c r="G58" s="291">
        <f>'3FS'!F36</f>
        <v>-29.094999999999999</v>
      </c>
      <c r="H58" s="291">
        <f>'3FS'!G36</f>
        <v>-0.94199999999999995</v>
      </c>
      <c r="I58" s="291">
        <f>'3FS'!H36</f>
        <v>-3.51</v>
      </c>
      <c r="J58" s="291">
        <f>'3FS'!I36</f>
        <v>102.301</v>
      </c>
      <c r="K58" s="162">
        <f>K59*K12</f>
        <v>0</v>
      </c>
      <c r="L58" s="162">
        <f>L59*L12</f>
        <v>0</v>
      </c>
      <c r="M58" s="162">
        <f>M59*M12</f>
        <v>0</v>
      </c>
      <c r="N58" s="162">
        <f>N59*N12</f>
        <v>0</v>
      </c>
      <c r="O58" s="162">
        <f>O59*O12</f>
        <v>0</v>
      </c>
      <c r="P58" s="65"/>
    </row>
    <row r="59" spans="3:16" s="65" customFormat="1">
      <c r="C59" s="65" t="s">
        <v>274</v>
      </c>
      <c r="F59" s="65">
        <f>F58/F12</f>
        <v>-43.29680365296803</v>
      </c>
      <c r="G59" s="65">
        <f>G58/G12</f>
        <v>-6.3277511961722483</v>
      </c>
      <c r="H59" s="65">
        <f>H58/H12</f>
        <v>-5.2555233206873463E-2</v>
      </c>
      <c r="I59" s="65">
        <f>I58/I12</f>
        <v>-0.21431188179264865</v>
      </c>
      <c r="J59" s="65">
        <v>0</v>
      </c>
      <c r="K59" s="284">
        <v>0</v>
      </c>
      <c r="L59" s="284">
        <f>K59</f>
        <v>0</v>
      </c>
      <c r="M59" s="284">
        <f>L59</f>
        <v>0</v>
      </c>
      <c r="N59" s="284">
        <f>M59</f>
        <v>0</v>
      </c>
      <c r="O59" s="284">
        <f>N59</f>
        <v>0</v>
      </c>
    </row>
    <row r="61" spans="3:16">
      <c r="C61" s="379" t="s">
        <v>280</v>
      </c>
      <c r="D61" s="379"/>
      <c r="E61" s="380"/>
      <c r="F61" s="380"/>
      <c r="G61" s="380"/>
      <c r="H61" s="380"/>
      <c r="I61" s="380"/>
      <c r="J61" s="380"/>
      <c r="K61" s="380"/>
      <c r="L61" s="380"/>
      <c r="M61" s="380"/>
      <c r="N61" s="380"/>
      <c r="O61" s="380"/>
    </row>
    <row r="63" spans="3:16">
      <c r="C63" s="66" t="s">
        <v>281</v>
      </c>
      <c r="D63" s="66"/>
      <c r="E63" s="67"/>
      <c r="F63" s="292">
        <f>'3FS'!E37</f>
        <v>-70.643000000000001</v>
      </c>
      <c r="G63" s="292">
        <f>'3FS'!F37</f>
        <v>-124.26599999999999</v>
      </c>
      <c r="H63" s="292">
        <f>'3FS'!G37</f>
        <v>-229.71599999999998</v>
      </c>
      <c r="I63" s="292">
        <f>'3FS'!H37</f>
        <v>-229.51599999999999</v>
      </c>
      <c r="J63" s="292">
        <f>'3FS'!I37</f>
        <v>-685.81600000000003</v>
      </c>
      <c r="K63" s="292">
        <f ca="1">'3FS'!J37</f>
        <v>-39.452179690411143</v>
      </c>
      <c r="L63" s="292">
        <f ca="1">'3FS'!K37</f>
        <v>9.1605308865289032</v>
      </c>
      <c r="M63" s="292">
        <f ca="1">'3FS'!L37</f>
        <v>290.05615426635006</v>
      </c>
      <c r="N63" s="292">
        <f ca="1">'3FS'!M37</f>
        <v>712.15713812029946</v>
      </c>
      <c r="O63" s="292">
        <f ca="1">'3FS'!N37</f>
        <v>1153.5639630021938</v>
      </c>
    </row>
    <row r="64" spans="3:16">
      <c r="F64" s="162"/>
      <c r="G64" s="162"/>
      <c r="H64" s="162"/>
      <c r="I64" s="162"/>
      <c r="J64" s="162"/>
      <c r="K64" s="162"/>
      <c r="L64" s="162"/>
      <c r="M64" s="162"/>
      <c r="N64" s="162"/>
      <c r="O64" s="162"/>
    </row>
    <row r="65" spans="2:15">
      <c r="C65" s="70" t="s">
        <v>282</v>
      </c>
      <c r="D65" s="70"/>
      <c r="E65" s="68"/>
      <c r="F65" s="291">
        <f>'3FS'!E38</f>
        <v>0</v>
      </c>
      <c r="G65" s="291">
        <f>'3FS'!F38</f>
        <v>0</v>
      </c>
      <c r="H65" s="291">
        <f>'3FS'!G38</f>
        <v>5.0999999999999997E-2</v>
      </c>
      <c r="I65" s="291">
        <f>'3FS'!H38</f>
        <v>3.1E-2</v>
      </c>
      <c r="J65" s="291">
        <f>'3FS'!I38</f>
        <v>2.1000000000000001E-2</v>
      </c>
      <c r="K65" s="162">
        <f ca="1">K66*K63</f>
        <v>1.208043809853713E-3</v>
      </c>
      <c r="L65" s="162">
        <f ca="1">L66*L63</f>
        <v>-2.8049965095172316E-4</v>
      </c>
      <c r="M65" s="162">
        <f ca="1">M66*M63</f>
        <v>-8.8816522793188721E-3</v>
      </c>
      <c r="N65" s="162">
        <f ca="1">N66*N63</f>
        <v>-2.1806577712573477E-2</v>
      </c>
      <c r="O65" s="162">
        <f ca="1">O66*O63</f>
        <v>-3.5322656839510996E-2</v>
      </c>
    </row>
    <row r="66" spans="2:15" s="65" customFormat="1">
      <c r="C66" s="65" t="s">
        <v>283</v>
      </c>
      <c r="F66" s="65">
        <f>F65/F63</f>
        <v>0</v>
      </c>
      <c r="G66" s="65">
        <f>G65/G63</f>
        <v>0</v>
      </c>
      <c r="H66" s="65">
        <f>H65/H63</f>
        <v>-2.2201326855769734E-4</v>
      </c>
      <c r="I66" s="65">
        <f>I65/I63</f>
        <v>-1.3506683629899442E-4</v>
      </c>
      <c r="J66" s="65">
        <f>J65/J63</f>
        <v>-3.0620457965401802E-5</v>
      </c>
      <c r="K66" s="284">
        <f>MEDIAN(F66:J66)</f>
        <v>-3.0620457965401802E-5</v>
      </c>
      <c r="L66" s="284">
        <f>MEDIAN(G66:K66)</f>
        <v>-3.0620457965401802E-5</v>
      </c>
      <c r="M66" s="284">
        <f>MEDIAN(H66:L66)</f>
        <v>-3.0620457965401802E-5</v>
      </c>
      <c r="N66" s="284">
        <f>MEDIAN(I66:M66)</f>
        <v>-3.0620457965401802E-5</v>
      </c>
      <c r="O66" s="284">
        <f>MEDIAN(J66:N66)</f>
        <v>-3.0620457965401802E-5</v>
      </c>
    </row>
    <row r="68" spans="2:15">
      <c r="C68" s="70" t="s">
        <v>284</v>
      </c>
      <c r="D68" s="70"/>
      <c r="E68" s="68"/>
      <c r="F68" s="291">
        <f>'3FS'!E39</f>
        <v>0</v>
      </c>
      <c r="G68" s="291">
        <f>'3FS'!F39</f>
        <v>0</v>
      </c>
      <c r="H68" s="291">
        <f>'3FS'!G39</f>
        <v>0</v>
      </c>
      <c r="I68" s="291">
        <f>'3FS'!H39</f>
        <v>0</v>
      </c>
      <c r="J68" s="291">
        <f>'3FS'!I39</f>
        <v>0</v>
      </c>
      <c r="K68" s="162">
        <f>K69*K12</f>
        <v>0</v>
      </c>
      <c r="L68" s="162">
        <f>L69*L12</f>
        <v>0</v>
      </c>
      <c r="M68" s="162">
        <f>M69*M12</f>
        <v>0</v>
      </c>
      <c r="N68" s="162">
        <f>N69*N12</f>
        <v>0</v>
      </c>
      <c r="O68" s="162">
        <f>O69*O12</f>
        <v>0</v>
      </c>
    </row>
    <row r="69" spans="2:15" s="65" customFormat="1">
      <c r="C69" s="65" t="s">
        <v>274</v>
      </c>
      <c r="F69" s="65">
        <f>F68/F12</f>
        <v>0</v>
      </c>
      <c r="G69" s="65">
        <f>G68/G12</f>
        <v>0</v>
      </c>
      <c r="H69" s="65">
        <f>H68/H12</f>
        <v>0</v>
      </c>
      <c r="I69" s="65">
        <f>I68/I12</f>
        <v>0</v>
      </c>
      <c r="J69" s="65">
        <f>J68/J12</f>
        <v>0</v>
      </c>
      <c r="K69" s="284">
        <f>MEDIAN($F$69:$J$69)</f>
        <v>0</v>
      </c>
      <c r="L69" s="284">
        <f>MEDIAN($F$69:$J$69)</f>
        <v>0</v>
      </c>
      <c r="M69" s="284">
        <f>MEDIAN($F$69:$J$69)</f>
        <v>0</v>
      </c>
      <c r="N69" s="284">
        <f>MEDIAN($F$69:$J$69)</f>
        <v>0</v>
      </c>
      <c r="O69" s="284">
        <f>MEDIAN($F$69:$J$69)</f>
        <v>0</v>
      </c>
    </row>
    <row r="71" spans="2:15">
      <c r="B71" s="69"/>
      <c r="C71" s="375" t="s">
        <v>285</v>
      </c>
      <c r="D71" s="375"/>
      <c r="E71" s="374"/>
      <c r="F71" s="374"/>
      <c r="G71" s="374"/>
      <c r="H71" s="374"/>
      <c r="I71" s="374"/>
      <c r="J71" s="374"/>
      <c r="K71" s="374"/>
      <c r="L71" s="374"/>
      <c r="M71" s="374"/>
      <c r="N71" s="374"/>
      <c r="O71" s="374"/>
    </row>
    <row r="73" spans="2:15">
      <c r="C73" s="379" t="s">
        <v>286</v>
      </c>
      <c r="D73" s="379"/>
      <c r="E73" s="380"/>
      <c r="F73" s="381"/>
      <c r="G73" s="381"/>
      <c r="H73" s="381"/>
      <c r="I73" s="381"/>
      <c r="J73" s="381"/>
      <c r="K73" s="382"/>
      <c r="L73" s="382"/>
      <c r="M73" s="382"/>
      <c r="N73" s="382"/>
      <c r="O73" s="382"/>
    </row>
    <row r="75" spans="2:15">
      <c r="C75" s="68" t="s">
        <v>287</v>
      </c>
      <c r="D75" s="68"/>
      <c r="E75" s="68"/>
      <c r="F75" s="290">
        <f>'3FS'!E53</f>
        <v>0.214</v>
      </c>
      <c r="G75" s="290">
        <f>'3FS'!F53</f>
        <v>12.976000000000001</v>
      </c>
      <c r="H75" s="290">
        <f>'3FS'!G53</f>
        <v>23.26</v>
      </c>
      <c r="I75" s="290">
        <f>'3FS'!H53</f>
        <v>17.07</v>
      </c>
      <c r="J75" s="290">
        <f>'3FS'!I53</f>
        <v>32.826000000000001</v>
      </c>
      <c r="K75" s="293">
        <f>-K17/K76</f>
        <v>4.0886288378638191</v>
      </c>
      <c r="L75" s="293">
        <f>-L17/L76</f>
        <v>17.240110654141226</v>
      </c>
      <c r="M75" s="293">
        <f>-M17/M76</f>
        <v>35.160746327616195</v>
      </c>
      <c r="N75" s="293">
        <f>-N17/N76</f>
        <v>46.089829104879676</v>
      </c>
      <c r="O75" s="293">
        <f>-O17/O76</f>
        <v>49.541282571111211</v>
      </c>
    </row>
    <row r="76" spans="2:15">
      <c r="C76" s="57" t="s">
        <v>288</v>
      </c>
      <c r="F76" s="162">
        <f>-F17/F75</f>
        <v>25.74299065420561</v>
      </c>
      <c r="G76" s="162">
        <f>-G17/G75</f>
        <v>3.582228729963008</v>
      </c>
      <c r="H76" s="162">
        <f>-H17/H75</f>
        <v>6.5889939810834042</v>
      </c>
      <c r="I76" s="162">
        <f>-I17/I75</f>
        <v>5.2605741066198011</v>
      </c>
      <c r="J76" s="162">
        <f>-J17/J75</f>
        <v>3.0118503625175168</v>
      </c>
      <c r="K76" s="162">
        <f>K8/K77</f>
        <v>25.672654614166795</v>
      </c>
      <c r="L76" s="162">
        <f>L8/L77</f>
        <v>25.672654614166795</v>
      </c>
      <c r="M76" s="162">
        <f>M8/M77</f>
        <v>25.672654614166795</v>
      </c>
      <c r="N76" s="162">
        <f>N8/N77</f>
        <v>25.74299065420561</v>
      </c>
      <c r="O76" s="162">
        <f>O8/O77</f>
        <v>25.672654614166795</v>
      </c>
    </row>
    <row r="77" spans="2:15">
      <c r="C77" s="57" t="s">
        <v>289</v>
      </c>
      <c r="F77" s="71">
        <f>F8/F76</f>
        <v>14.217462334361953</v>
      </c>
      <c r="G77" s="71">
        <f>G8/G76</f>
        <v>101.8918744487232</v>
      </c>
      <c r="H77" s="71">
        <f>H8/H76</f>
        <v>55.395406498760281</v>
      </c>
      <c r="I77" s="71">
        <f>I8/I76</f>
        <v>69.384062005835318</v>
      </c>
      <c r="J77" s="71">
        <f>J8/J76</f>
        <v>121.51998138913893</v>
      </c>
      <c r="K77" s="286">
        <f>MIN($F77:$J77)</f>
        <v>14.217462334361953</v>
      </c>
      <c r="L77" s="286">
        <f>K77</f>
        <v>14.217462334361953</v>
      </c>
      <c r="M77" s="286">
        <f t="shared" ref="M77:O77" si="34">L77</f>
        <v>14.217462334361953</v>
      </c>
      <c r="N77" s="286">
        <f t="shared" si="34"/>
        <v>14.217462334361953</v>
      </c>
      <c r="O77" s="286">
        <f t="shared" si="34"/>
        <v>14.217462334361953</v>
      </c>
    </row>
    <row r="79" spans="2:15">
      <c r="C79" s="68" t="s">
        <v>290</v>
      </c>
      <c r="D79" s="68"/>
      <c r="E79" s="68"/>
      <c r="F79" s="290">
        <f>'3FS'!E50</f>
        <v>0</v>
      </c>
      <c r="G79" s="290">
        <f>'3FS'!F50</f>
        <v>3.2850000000000001</v>
      </c>
      <c r="H79" s="290">
        <f>'3FS'!G50</f>
        <v>3.5249999999999999</v>
      </c>
      <c r="I79" s="290">
        <f>'3FS'!H50</f>
        <v>9.7729999999999997</v>
      </c>
      <c r="J79" s="290">
        <f>'3FS'!I50</f>
        <v>16.134</v>
      </c>
      <c r="K79" s="293">
        <f>K12/K80</f>
        <v>34.404987251729523</v>
      </c>
      <c r="L79" s="293">
        <f>L12/L80</f>
        <v>151.37953555850225</v>
      </c>
      <c r="M79" s="293">
        <f>M12/M80</f>
        <v>322.76791706086459</v>
      </c>
      <c r="N79" s="293">
        <f>N12/N80</f>
        <v>443.24184971682649</v>
      </c>
      <c r="O79" s="293">
        <f>O12/O80</f>
        <v>500.25588417576461</v>
      </c>
    </row>
    <row r="80" spans="2:15">
      <c r="C80" s="57" t="s">
        <v>291</v>
      </c>
      <c r="F80" s="162"/>
      <c r="G80" s="162">
        <f>G12/G79</f>
        <v>1.3996955859969558</v>
      </c>
      <c r="H80" s="162">
        <f>H12/H79</f>
        <v>5.0848226950354611</v>
      </c>
      <c r="I80" s="162">
        <f>I12/I79</f>
        <v>1.6758416044203419</v>
      </c>
      <c r="J80" s="162">
        <f>J12/J79</f>
        <v>0.96727407958348821</v>
      </c>
      <c r="K80" s="162">
        <f>K8/K81</f>
        <v>5.0848226950354611</v>
      </c>
      <c r="L80" s="162">
        <f>L8/L81</f>
        <v>5.0848226950354611</v>
      </c>
      <c r="M80" s="162">
        <f>M8/M81</f>
        <v>5.0848226950354611</v>
      </c>
      <c r="N80" s="162">
        <f>N8/N81</f>
        <v>5.0987537161177494</v>
      </c>
      <c r="O80" s="162">
        <f>O8/O81</f>
        <v>5.0848226950354611</v>
      </c>
    </row>
    <row r="81" spans="3:15">
      <c r="C81" s="57" t="s">
        <v>292</v>
      </c>
      <c r="F81" s="71"/>
      <c r="G81" s="71">
        <f>G8/G80</f>
        <v>260.77098738581992</v>
      </c>
      <c r="H81" s="71">
        <f>H8/H80</f>
        <v>71.782247266235217</v>
      </c>
      <c r="I81" s="71">
        <f>I8/I80</f>
        <v>217.80101355476856</v>
      </c>
      <c r="J81" s="71">
        <f>J8/J80</f>
        <v>378.38292964244522</v>
      </c>
      <c r="K81" s="286">
        <f>MIN($F81:$J81)</f>
        <v>71.782247266235217</v>
      </c>
      <c r="L81" s="287">
        <f>K81</f>
        <v>71.782247266235217</v>
      </c>
      <c r="M81" s="287">
        <f t="shared" ref="M81:O81" si="35">L81</f>
        <v>71.782247266235217</v>
      </c>
      <c r="N81" s="287">
        <f t="shared" si="35"/>
        <v>71.782247266235217</v>
      </c>
      <c r="O81" s="287">
        <f t="shared" si="35"/>
        <v>71.782247266235217</v>
      </c>
    </row>
    <row r="83" spans="3:15">
      <c r="C83" s="68" t="s">
        <v>185</v>
      </c>
      <c r="D83" s="68"/>
      <c r="E83" s="68"/>
      <c r="F83" s="290">
        <f>'3FS'!E51</f>
        <v>0.432</v>
      </c>
      <c r="G83" s="290">
        <f>'3FS'!F51</f>
        <v>1.02</v>
      </c>
      <c r="H83" s="290">
        <f>'3FS'!G51</f>
        <v>0.26300000000000001</v>
      </c>
      <c r="I83" s="290">
        <f>'3FS'!H51</f>
        <v>10.756</v>
      </c>
      <c r="J83" s="290">
        <f>'3FS'!I51</f>
        <v>2.2829999999999999</v>
      </c>
      <c r="K83" s="293">
        <f>K12/K84</f>
        <v>2.5669536587815225</v>
      </c>
      <c r="L83" s="293">
        <f>L12/L84</f>
        <v>11.294416411882581</v>
      </c>
      <c r="M83" s="293">
        <f>M12/M84</f>
        <v>24.081691400569476</v>
      </c>
      <c r="N83" s="293">
        <f>N12/N84</f>
        <v>33.070242971780246</v>
      </c>
      <c r="O83" s="293">
        <f>O12/O84</f>
        <v>37.324056039213083</v>
      </c>
    </row>
    <row r="84" spans="3:15">
      <c r="C84" s="57" t="s">
        <v>291</v>
      </c>
      <c r="F84" s="162">
        <f>F12/F83</f>
        <v>0.50694444444444442</v>
      </c>
      <c r="G84" s="162">
        <f>G12/G83</f>
        <v>4.5078431372549019</v>
      </c>
      <c r="H84" s="162">
        <f>H12/H83</f>
        <v>68.152091254752847</v>
      </c>
      <c r="I84" s="162">
        <f>I12/I83</f>
        <v>1.522685013015991</v>
      </c>
      <c r="J84" s="162">
        <f>J12/J83</f>
        <v>6.835742444152431</v>
      </c>
      <c r="K84" s="162">
        <f>K8/K85</f>
        <v>68.152091254752847</v>
      </c>
      <c r="L84" s="162">
        <f>L8/L85</f>
        <v>68.152091254752847</v>
      </c>
      <c r="M84" s="162">
        <f>M8/M85</f>
        <v>68.152091254752847</v>
      </c>
      <c r="N84" s="162">
        <f>N8/N85</f>
        <v>68.338809312985049</v>
      </c>
      <c r="O84" s="162">
        <f>O8/O85</f>
        <v>68.152091254752847</v>
      </c>
    </row>
    <row r="85" spans="3:15">
      <c r="C85" s="57" t="s">
        <v>292</v>
      </c>
      <c r="F85" s="71">
        <f>F8/F84</f>
        <v>721.97260273972609</v>
      </c>
      <c r="G85" s="71">
        <f>G8/G84</f>
        <v>80.969986950848195</v>
      </c>
      <c r="H85" s="71">
        <f>H8/H84</f>
        <v>5.355668377594287</v>
      </c>
      <c r="I85" s="71">
        <f>I8/I84</f>
        <v>239.70814507265845</v>
      </c>
      <c r="J85" s="71">
        <f>J8/J84</f>
        <v>53.542099192618224</v>
      </c>
      <c r="K85" s="286">
        <f>MIN($F85:$J85)</f>
        <v>5.355668377594287</v>
      </c>
      <c r="L85" s="286">
        <f>K85</f>
        <v>5.355668377594287</v>
      </c>
      <c r="M85" s="286">
        <f t="shared" ref="M85:O85" si="36">L85</f>
        <v>5.355668377594287</v>
      </c>
      <c r="N85" s="286">
        <f t="shared" si="36"/>
        <v>5.355668377594287</v>
      </c>
      <c r="O85" s="286">
        <f t="shared" si="36"/>
        <v>5.355668377594287</v>
      </c>
    </row>
    <row r="86" spans="3:15">
      <c r="F86" s="71"/>
      <c r="G86" s="71"/>
      <c r="H86" s="71"/>
      <c r="I86" s="71"/>
      <c r="J86" s="71"/>
      <c r="K86" s="71"/>
      <c r="L86" s="71"/>
      <c r="M86" s="71"/>
      <c r="N86" s="71"/>
      <c r="O86" s="71"/>
    </row>
    <row r="87" spans="3:15">
      <c r="C87" s="68" t="s">
        <v>186</v>
      </c>
      <c r="D87" s="68"/>
      <c r="E87" s="68"/>
      <c r="F87" s="290">
        <f>'3FS'!E55</f>
        <v>2.5939999999999999</v>
      </c>
      <c r="G87" s="290">
        <f>'3FS'!F55</f>
        <v>16.901</v>
      </c>
      <c r="H87" s="290">
        <f>'3FS'!G55</f>
        <v>6.0090000000000003</v>
      </c>
      <c r="I87" s="290">
        <f>'3FS'!H55</f>
        <v>10.738</v>
      </c>
      <c r="J87" s="290">
        <f>'3FS'!I55</f>
        <v>17.638000000000002</v>
      </c>
      <c r="K87" s="293">
        <f>K12/K88</f>
        <v>58.649522949118506</v>
      </c>
      <c r="L87" s="293">
        <f>L12/L88</f>
        <v>258.05379550951494</v>
      </c>
      <c r="M87" s="293">
        <f>M12/M88</f>
        <v>550.21628755141433</v>
      </c>
      <c r="N87" s="293">
        <f>N12/N88</f>
        <v>755.58589360238591</v>
      </c>
      <c r="O87" s="293">
        <f>O12/O88</f>
        <v>852.77662638643119</v>
      </c>
    </row>
    <row r="88" spans="3:15">
      <c r="C88" s="57" t="s">
        <v>291</v>
      </c>
      <c r="F88" s="162">
        <f>F12/F87</f>
        <v>8.4425597532767932E-2</v>
      </c>
      <c r="G88" s="162">
        <f>G12/G87</f>
        <v>0.27205490799360982</v>
      </c>
      <c r="H88" s="162">
        <f>H12/H87</f>
        <v>2.982859044766184</v>
      </c>
      <c r="I88" s="162">
        <f>I12/I87</f>
        <v>1.5252374743900168</v>
      </c>
      <c r="J88" s="162">
        <f>J12/J87</f>
        <v>0.88479419435310114</v>
      </c>
      <c r="K88" s="162">
        <f>K8/K89</f>
        <v>2.982859044766184</v>
      </c>
      <c r="L88" s="162">
        <f>L8/L89</f>
        <v>2.982859044766184</v>
      </c>
      <c r="M88" s="162">
        <f>M8/M89</f>
        <v>2.982859044766184</v>
      </c>
      <c r="N88" s="162">
        <f>N8/N89</f>
        <v>2.991031261327187</v>
      </c>
      <c r="O88" s="162">
        <f>O8/O89</f>
        <v>2.982859044766184</v>
      </c>
    </row>
    <row r="89" spans="3:15">
      <c r="C89" s="57" t="s">
        <v>292</v>
      </c>
      <c r="F89" s="71">
        <f>F8/F88</f>
        <v>4335.178082191781</v>
      </c>
      <c r="G89" s="71">
        <f>G8/G88</f>
        <v>1341.6409308394955</v>
      </c>
      <c r="H89" s="71">
        <f>H8/H88</f>
        <v>122.36582236108012</v>
      </c>
      <c r="I89" s="71">
        <f>I8/I88</f>
        <v>239.30699719135424</v>
      </c>
      <c r="J89" s="71">
        <f>J8/J88</f>
        <v>413.65551710880436</v>
      </c>
      <c r="K89" s="286">
        <f>MIN($F89:$J89)</f>
        <v>122.36582236108012</v>
      </c>
      <c r="L89" s="286">
        <f>K89</f>
        <v>122.36582236108012</v>
      </c>
      <c r="M89" s="286">
        <f t="shared" ref="M89:O89" si="37">L89</f>
        <v>122.36582236108012</v>
      </c>
      <c r="N89" s="286">
        <f t="shared" si="37"/>
        <v>122.36582236108012</v>
      </c>
      <c r="O89" s="286">
        <f t="shared" si="37"/>
        <v>122.36582236108012</v>
      </c>
    </row>
    <row r="90" spans="3:15">
      <c r="F90" s="71"/>
      <c r="G90" s="71"/>
      <c r="H90" s="71"/>
      <c r="I90" s="71"/>
      <c r="J90" s="71"/>
      <c r="K90" s="72"/>
      <c r="L90" s="72"/>
      <c r="M90" s="72"/>
      <c r="N90" s="72"/>
      <c r="O90" s="72"/>
    </row>
    <row r="91" spans="3:15">
      <c r="C91" s="68" t="s">
        <v>293</v>
      </c>
      <c r="D91" s="68"/>
      <c r="E91" s="68"/>
      <c r="F91" s="290">
        <f>'3FS'!E54</f>
        <v>2.274</v>
      </c>
      <c r="G91" s="290">
        <f>'3FS'!F54</f>
        <v>2.5950000000000002</v>
      </c>
      <c r="H91" s="290">
        <f>'3FS'!G54</f>
        <v>2.2890000000000001</v>
      </c>
      <c r="I91" s="290">
        <f>'3FS'!H54</f>
        <v>1.0820000000000001</v>
      </c>
      <c r="J91" s="290">
        <f>'3FS'!I54</f>
        <v>0.93799999999999994</v>
      </c>
      <c r="K91" s="162">
        <f>K92*K12</f>
        <v>10.51498</v>
      </c>
      <c r="L91" s="162">
        <f>L92*L12</f>
        <v>46.265175951399989</v>
      </c>
      <c r="M91" s="162">
        <f>M92*M12</f>
        <v>98.645529722323616</v>
      </c>
      <c r="N91" s="162">
        <f>N92*N12</f>
        <v>135.83635810732119</v>
      </c>
      <c r="O91" s="162">
        <f>O92*O12</f>
        <v>152.89006150484926</v>
      </c>
    </row>
    <row r="92" spans="3:15" s="65" customFormat="1">
      <c r="C92" s="65" t="s">
        <v>274</v>
      </c>
      <c r="F92" s="65">
        <f>F91/F$12</f>
        <v>10.383561643835616</v>
      </c>
      <c r="G92" s="65">
        <f>G91/G$12</f>
        <v>0.5643758155719879</v>
      </c>
      <c r="H92" s="65">
        <f>H91/H$12</f>
        <v>0.1277058692256193</v>
      </c>
      <c r="I92" s="65">
        <f>I91/I$12</f>
        <v>6.606423250702162E-2</v>
      </c>
      <c r="J92" s="65">
        <f>J91/J$12</f>
        <v>6.0105087786748682E-2</v>
      </c>
      <c r="K92" s="366">
        <f>MIN($F92:$J92)</f>
        <v>6.0105087786748682E-2</v>
      </c>
      <c r="L92" s="367">
        <f>K92</f>
        <v>6.0105087786748682E-2</v>
      </c>
      <c r="M92" s="367">
        <f t="shared" ref="M92:O92" si="38">L92</f>
        <v>6.0105087786748682E-2</v>
      </c>
      <c r="N92" s="367">
        <f t="shared" si="38"/>
        <v>6.0105087786748682E-2</v>
      </c>
      <c r="O92" s="367">
        <f t="shared" si="38"/>
        <v>6.0105087786748682E-2</v>
      </c>
    </row>
    <row r="94" spans="3:15">
      <c r="C94" s="379" t="s">
        <v>294</v>
      </c>
      <c r="D94" s="379"/>
      <c r="E94" s="380"/>
      <c r="F94" s="381"/>
      <c r="G94" s="381"/>
      <c r="H94" s="381"/>
      <c r="I94" s="381"/>
      <c r="J94" s="381"/>
      <c r="K94" s="382"/>
      <c r="L94" s="382"/>
      <c r="M94" s="382"/>
      <c r="N94" s="382"/>
      <c r="O94" s="382"/>
    </row>
    <row r="95" spans="3:15">
      <c r="F95" s="71"/>
      <c r="G95" s="71"/>
      <c r="H95" s="71"/>
      <c r="I95" s="71"/>
      <c r="J95" s="71"/>
      <c r="K95" s="71"/>
      <c r="L95" s="1"/>
    </row>
    <row r="96" spans="3:15">
      <c r="C96" s="68" t="s">
        <v>202</v>
      </c>
      <c r="D96" s="68"/>
      <c r="E96" s="68"/>
      <c r="F96" s="290">
        <f>'3FS'!E71</f>
        <v>3.3780000000000001</v>
      </c>
      <c r="G96" s="290">
        <f>'3FS'!F71</f>
        <v>13.731</v>
      </c>
      <c r="H96" s="290">
        <f>'3FS'!G71</f>
        <v>34.668999999999997</v>
      </c>
      <c r="I96" s="290">
        <f>'3FS'!H71</f>
        <v>20.54</v>
      </c>
      <c r="J96" s="290">
        <f>'3FS'!I71</f>
        <v>16.722999999999999</v>
      </c>
      <c r="K96" s="293">
        <f>K12/K97</f>
        <v>187.9784322739726</v>
      </c>
      <c r="L96" s="293">
        <f>L12/L97</f>
        <v>827.09194351522012</v>
      </c>
      <c r="M96" s="293">
        <f>M12/M97</f>
        <v>1763.5061624499488</v>
      </c>
      <c r="N96" s="293">
        <f>N12/N97</f>
        <v>2421.739250137241</v>
      </c>
      <c r="O96" s="293">
        <f>O12/O97</f>
        <v>2733.246670174628</v>
      </c>
    </row>
    <row r="97" spans="2:15">
      <c r="C97" s="57" t="s">
        <v>295</v>
      </c>
      <c r="F97" s="162">
        <f>F12/F96</f>
        <v>6.4831261101243334E-2</v>
      </c>
      <c r="G97" s="162">
        <f>G12/G96</f>
        <v>0.33486271939407181</v>
      </c>
      <c r="H97" s="162">
        <f>H12/H96</f>
        <v>0.51700366321497593</v>
      </c>
      <c r="I97" s="162">
        <f>I12/I96</f>
        <v>0.7973709834469328</v>
      </c>
      <c r="J97" s="162">
        <f>J12/J96</f>
        <v>0.93320576451593618</v>
      </c>
      <c r="K97" s="162">
        <f>K8/K98</f>
        <v>0.93065602198993636</v>
      </c>
      <c r="L97" s="162">
        <f>L8/L98</f>
        <v>0.93065602198993636</v>
      </c>
      <c r="M97" s="162">
        <f>M8/M98</f>
        <v>0.93065602198993636</v>
      </c>
      <c r="N97" s="162">
        <f>N8/N98</f>
        <v>0.93320576451593618</v>
      </c>
      <c r="O97" s="162">
        <f>O8/O98</f>
        <v>0.93065602198993636</v>
      </c>
    </row>
    <row r="98" spans="2:15">
      <c r="C98" s="57" t="s">
        <v>296</v>
      </c>
      <c r="F98" s="71">
        <f>F8/F97</f>
        <v>5645.4246575342468</v>
      </c>
      <c r="G98" s="71">
        <f>G8/G97</f>
        <v>1089.9989125706829</v>
      </c>
      <c r="H98" s="71">
        <f>H8/H97</f>
        <v>705.99112921222934</v>
      </c>
      <c r="I98" s="71">
        <f>I8/I97</f>
        <v>457.75430455489072</v>
      </c>
      <c r="J98" s="71">
        <f>J8/J97</f>
        <v>392.19646289888504</v>
      </c>
      <c r="K98" s="286">
        <f>MIN($F98:$J98)</f>
        <v>392.19646289888504</v>
      </c>
      <c r="L98" s="286">
        <f>K98</f>
        <v>392.19646289888504</v>
      </c>
      <c r="M98" s="286">
        <f>L98</f>
        <v>392.19646289888504</v>
      </c>
      <c r="N98" s="286">
        <f>M98</f>
        <v>392.19646289888504</v>
      </c>
      <c r="O98" s="286">
        <f>N98</f>
        <v>392.19646289888504</v>
      </c>
    </row>
    <row r="99" spans="2:15">
      <c r="F99" s="71"/>
      <c r="G99" s="71"/>
      <c r="H99" s="71"/>
      <c r="I99" s="71"/>
      <c r="J99" s="71"/>
      <c r="K99" s="71"/>
      <c r="L99" s="71"/>
      <c r="M99" s="71"/>
      <c r="N99" s="71"/>
      <c r="O99" s="71"/>
    </row>
    <row r="100" spans="2:15">
      <c r="C100" s="68" t="s">
        <v>297</v>
      </c>
      <c r="D100" s="68"/>
      <c r="E100" s="68"/>
      <c r="F100" s="290">
        <f>'3FS'!E72</f>
        <v>4.0949999999999998</v>
      </c>
      <c r="G100" s="290">
        <f>'3FS'!F72</f>
        <v>5.5620000000000003</v>
      </c>
      <c r="H100" s="290">
        <f>'3FS'!G72</f>
        <v>8.9619999999999997</v>
      </c>
      <c r="I100" s="290">
        <f>'3FS'!H72</f>
        <v>22.783999999999999</v>
      </c>
      <c r="J100" s="290">
        <f>'3FS'!I72</f>
        <v>12.206</v>
      </c>
      <c r="K100" s="162">
        <f>K101*K$12</f>
        <v>87.471630000000005</v>
      </c>
      <c r="L100" s="162">
        <f t="shared" ref="L100:O100" si="39">L101*L$12</f>
        <v>384.86904898589995</v>
      </c>
      <c r="M100" s="162">
        <f t="shared" si="39"/>
        <v>820.60881495020385</v>
      </c>
      <c r="N100" s="162">
        <f t="shared" si="39"/>
        <v>1129.990514191287</v>
      </c>
      <c r="O100" s="162">
        <f t="shared" si="39"/>
        <v>1271.8562365909795</v>
      </c>
    </row>
    <row r="101" spans="2:15">
      <c r="C101" s="57" t="s">
        <v>274</v>
      </c>
      <c r="F101" s="65">
        <f>F100/F$12</f>
        <v>18.698630136986299</v>
      </c>
      <c r="G101" s="65">
        <f t="shared" ref="G101:J101" si="40">G100/G$12</f>
        <v>1.2096563723357983</v>
      </c>
      <c r="H101" s="65">
        <f t="shared" si="40"/>
        <v>0.5</v>
      </c>
      <c r="I101" s="65">
        <f t="shared" si="40"/>
        <v>1.3911344486506287</v>
      </c>
      <c r="J101" s="65">
        <f t="shared" si="40"/>
        <v>0.78213507625272327</v>
      </c>
      <c r="K101" s="365">
        <f>MIN(F101:J101)</f>
        <v>0.5</v>
      </c>
      <c r="L101" s="365">
        <f>K101</f>
        <v>0.5</v>
      </c>
      <c r="M101" s="365">
        <f t="shared" ref="M101:O101" si="41">L101</f>
        <v>0.5</v>
      </c>
      <c r="N101" s="365">
        <f t="shared" si="41"/>
        <v>0.5</v>
      </c>
      <c r="O101" s="365">
        <f t="shared" si="41"/>
        <v>0.5</v>
      </c>
    </row>
    <row r="102" spans="2:15">
      <c r="F102" s="71"/>
      <c r="G102" s="71"/>
      <c r="H102" s="71"/>
      <c r="I102" s="71"/>
      <c r="J102" s="71"/>
      <c r="K102" s="71"/>
      <c r="L102" s="71"/>
      <c r="M102" s="71"/>
      <c r="N102" s="71"/>
      <c r="O102" s="71"/>
    </row>
    <row r="103" spans="2:15">
      <c r="C103" s="68" t="s">
        <v>206</v>
      </c>
      <c r="D103" s="68"/>
      <c r="E103" s="68"/>
      <c r="F103" s="290">
        <f>'3FS'!E75</f>
        <v>1.2130000000000001</v>
      </c>
      <c r="G103" s="290">
        <f>'3FS'!F75</f>
        <v>0.84899999999999998</v>
      </c>
      <c r="H103" s="290">
        <f>'3FS'!G75</f>
        <v>3.85</v>
      </c>
      <c r="I103" s="290">
        <f>'3FS'!H75</f>
        <v>3.07</v>
      </c>
      <c r="J103" s="290">
        <f>'3FS'!I75</f>
        <v>22.039000000000001</v>
      </c>
      <c r="K103" s="162">
        <f>K104*K$12</f>
        <v>32.302485371900829</v>
      </c>
      <c r="L103" s="162">
        <f>L104*L$12</f>
        <v>142.12867446238758</v>
      </c>
      <c r="M103" s="162">
        <f>M104*M$12</f>
        <v>303.04344666930103</v>
      </c>
      <c r="N103" s="162">
        <f>N104*N$12</f>
        <v>417.29532255258925</v>
      </c>
      <c r="O103" s="162">
        <f>O104*O$12</f>
        <v>469.68505648792586</v>
      </c>
    </row>
    <row r="104" spans="2:15" s="65" customFormat="1">
      <c r="B104" s="347"/>
      <c r="C104" s="65" t="s">
        <v>274</v>
      </c>
      <c r="F104" s="65">
        <f>F103/F$12</f>
        <v>5.5388127853881279</v>
      </c>
      <c r="G104" s="65">
        <f>G103/G$12</f>
        <v>0.18464549804262723</v>
      </c>
      <c r="H104" s="65">
        <f>H103/H$12</f>
        <v>0.21479580450792235</v>
      </c>
      <c r="I104" s="65">
        <f>I103/I$12</f>
        <v>0.18744657467334228</v>
      </c>
      <c r="J104" s="65">
        <f>J103/J$12</f>
        <v>1.4122132513135974</v>
      </c>
      <c r="K104" s="710">
        <f>MIN(F104:J104)</f>
        <v>0.18464549804262723</v>
      </c>
      <c r="L104" s="710">
        <f>K104</f>
        <v>0.18464549804262723</v>
      </c>
      <c r="M104" s="710">
        <f>L104</f>
        <v>0.18464549804262723</v>
      </c>
      <c r="N104" s="710">
        <f>M104</f>
        <v>0.18464549804262723</v>
      </c>
      <c r="O104" s="710">
        <f>N104</f>
        <v>0.18464549804262723</v>
      </c>
    </row>
    <row r="105" spans="2:15">
      <c r="B105" s="147"/>
      <c r="F105" s="71"/>
      <c r="G105" s="71"/>
      <c r="H105" s="71"/>
      <c r="I105" s="71"/>
      <c r="J105" s="71"/>
      <c r="K105" s="71"/>
      <c r="L105" s="71"/>
      <c r="M105" s="71"/>
      <c r="N105" s="71"/>
      <c r="O105" s="71"/>
    </row>
    <row r="106" spans="2:15">
      <c r="B106" s="147"/>
      <c r="C106" s="68" t="s">
        <v>207</v>
      </c>
      <c r="D106" s="68"/>
      <c r="E106" s="68"/>
      <c r="F106" s="290">
        <f>'3FS'!E76</f>
        <v>3.9750000000000001</v>
      </c>
      <c r="G106" s="290">
        <f>'3FS'!F76</f>
        <v>2.113</v>
      </c>
      <c r="H106" s="290">
        <f>'3FS'!G76</f>
        <v>6.3970000000000002</v>
      </c>
      <c r="I106" s="290">
        <f>'3FS'!H76</f>
        <v>9.548</v>
      </c>
      <c r="J106" s="290">
        <f>'3FS'!I76</f>
        <v>10.071999999999999</v>
      </c>
      <c r="K106" s="162">
        <f>K107*K$12</f>
        <v>62.436511616826614</v>
      </c>
      <c r="L106" s="162">
        <f>L107*L$12</f>
        <v>274.71628055822384</v>
      </c>
      <c r="M106" s="162">
        <f>M107*M$12</f>
        <v>585.74364976974505</v>
      </c>
      <c r="N106" s="162">
        <f>N107*N$12</f>
        <v>806.57769686249321</v>
      </c>
      <c r="O106" s="162">
        <f>O107*O$12</f>
        <v>907.8402527864871</v>
      </c>
    </row>
    <row r="107" spans="2:15" s="65" customFormat="1">
      <c r="B107" s="347"/>
      <c r="C107" s="65" t="s">
        <v>274</v>
      </c>
      <c r="F107" s="65">
        <f>F106/F$12</f>
        <v>18.150684931506849</v>
      </c>
      <c r="G107" s="65">
        <f>G106/G$12</f>
        <v>0.45954762940408872</v>
      </c>
      <c r="H107" s="65">
        <f>H106/H$12</f>
        <v>0.35689578219147516</v>
      </c>
      <c r="I107" s="65">
        <f>I106/I$12</f>
        <v>0.58297716448894854</v>
      </c>
      <c r="J107" s="65">
        <f>J106/J$12</f>
        <v>0.64539279764193258</v>
      </c>
      <c r="K107" s="710">
        <f>MIN(F107:J107)</f>
        <v>0.35689578219147516</v>
      </c>
      <c r="L107" s="710">
        <f>K107</f>
        <v>0.35689578219147516</v>
      </c>
      <c r="M107" s="710">
        <f>L107</f>
        <v>0.35689578219147516</v>
      </c>
      <c r="N107" s="710">
        <f>M107</f>
        <v>0.35689578219147516</v>
      </c>
      <c r="O107" s="710">
        <f>N107</f>
        <v>0.35689578219147516</v>
      </c>
    </row>
    <row r="108" spans="2:15">
      <c r="B108" s="147"/>
    </row>
    <row r="109" spans="2:15">
      <c r="B109" s="147"/>
      <c r="C109" s="375" t="s">
        <v>298</v>
      </c>
      <c r="D109" s="375"/>
      <c r="E109" s="375"/>
      <c r="F109" s="375"/>
      <c r="G109" s="375"/>
      <c r="H109" s="375"/>
      <c r="I109" s="375"/>
      <c r="J109" s="375"/>
      <c r="K109" s="375"/>
      <c r="L109" s="375"/>
      <c r="M109" s="375"/>
      <c r="N109" s="375"/>
      <c r="O109" s="375"/>
    </row>
    <row r="110" spans="2:15">
      <c r="B110" s="147"/>
    </row>
    <row r="111" spans="2:15">
      <c r="B111" s="149"/>
      <c r="C111" s="379" t="s">
        <v>299</v>
      </c>
      <c r="D111" s="379"/>
      <c r="E111" s="379"/>
      <c r="F111" s="379"/>
      <c r="G111" s="379"/>
      <c r="H111" s="379"/>
      <c r="I111" s="379"/>
      <c r="J111" s="379"/>
      <c r="K111" s="379"/>
      <c r="L111" s="379"/>
      <c r="M111" s="379"/>
      <c r="N111" s="379"/>
      <c r="O111" s="379"/>
    </row>
    <row r="112" spans="2:15">
      <c r="B112" s="711"/>
      <c r="C112" s="712"/>
      <c r="D112" s="713"/>
      <c r="E112" s="74"/>
      <c r="F112" s="712"/>
      <c r="G112" s="712"/>
      <c r="H112" s="712"/>
      <c r="I112" s="712"/>
      <c r="J112" s="712"/>
      <c r="K112" s="712"/>
      <c r="L112" s="712"/>
      <c r="M112" s="712"/>
      <c r="N112" s="712"/>
      <c r="O112" s="712"/>
    </row>
    <row r="113" spans="2:15">
      <c r="B113" s="150"/>
      <c r="C113" s="77" t="s">
        <v>23</v>
      </c>
      <c r="D113" s="78"/>
      <c r="E113" s="79"/>
      <c r="F113" s="77"/>
      <c r="G113" s="77"/>
      <c r="H113" s="77"/>
      <c r="I113" s="77"/>
      <c r="J113" s="77"/>
      <c r="K113" s="77"/>
      <c r="L113" s="77"/>
      <c r="M113" s="77"/>
      <c r="N113" s="77"/>
      <c r="O113" s="77"/>
    </row>
    <row r="114" spans="2:15">
      <c r="B114" s="714"/>
      <c r="C114" s="715"/>
      <c r="D114" s="716"/>
      <c r="E114" s="80"/>
      <c r="F114" s="715"/>
      <c r="G114" s="715"/>
      <c r="H114" s="715"/>
      <c r="I114" s="715"/>
      <c r="J114" s="715"/>
      <c r="K114" s="715"/>
      <c r="L114" s="715"/>
      <c r="M114" s="715"/>
      <c r="N114" s="715"/>
      <c r="O114" s="715"/>
    </row>
    <row r="115" spans="2:15">
      <c r="B115" s="711"/>
      <c r="C115" s="81" t="s">
        <v>300</v>
      </c>
      <c r="D115" s="82">
        <v>0.05</v>
      </c>
      <c r="E115" s="83"/>
      <c r="F115" s="84"/>
      <c r="G115" s="84"/>
      <c r="H115" s="84"/>
      <c r="I115" s="84"/>
      <c r="J115" s="84"/>
      <c r="K115" s="84"/>
      <c r="L115" s="84"/>
      <c r="M115" s="84"/>
      <c r="N115" s="84"/>
      <c r="O115" s="84"/>
    </row>
    <row r="116" spans="2:15">
      <c r="B116" s="711"/>
      <c r="C116" s="81"/>
      <c r="D116" s="85">
        <v>5</v>
      </c>
      <c r="E116" s="83"/>
      <c r="F116" s="84"/>
      <c r="G116" s="84"/>
      <c r="H116" s="84"/>
      <c r="I116" s="84"/>
      <c r="J116" s="84"/>
      <c r="K116" s="84"/>
      <c r="L116" s="84"/>
      <c r="M116" s="84"/>
      <c r="N116" s="84"/>
      <c r="O116" s="84"/>
    </row>
    <row r="117" spans="2:15">
      <c r="B117" s="712"/>
      <c r="C117" s="81" t="s">
        <v>301</v>
      </c>
      <c r="D117" s="86">
        <f>J123</f>
        <v>3.5949999999999998</v>
      </c>
      <c r="E117" s="74"/>
      <c r="F117" s="84"/>
      <c r="G117" s="84"/>
      <c r="H117" s="84"/>
      <c r="I117" s="84"/>
      <c r="J117" s="84"/>
      <c r="K117" s="84"/>
      <c r="L117" s="84"/>
      <c r="M117" s="84"/>
      <c r="N117" s="84"/>
      <c r="O117" s="84"/>
    </row>
    <row r="118" spans="2:15">
      <c r="B118" s="711"/>
      <c r="C118" s="81" t="s">
        <v>302</v>
      </c>
      <c r="D118" s="86">
        <f>PMT(D115,D167,D117,0)</f>
        <v>-0.83035439927112376</v>
      </c>
      <c r="E118" s="87"/>
      <c r="F118" s="84"/>
      <c r="G118" s="84"/>
      <c r="H118" s="84"/>
      <c r="I118" s="84"/>
      <c r="J118" s="84"/>
      <c r="K118" s="84"/>
      <c r="L118" s="84"/>
      <c r="M118" s="84"/>
      <c r="N118" s="84"/>
      <c r="O118" s="84"/>
    </row>
    <row r="119" spans="2:15">
      <c r="B119" s="717"/>
      <c r="C119" s="718"/>
      <c r="D119" s="718"/>
      <c r="E119" s="719"/>
      <c r="F119" s="718"/>
      <c r="G119" s="718"/>
      <c r="H119" s="718"/>
      <c r="I119" s="718"/>
      <c r="J119" s="718"/>
      <c r="K119" s="718"/>
      <c r="L119" s="718"/>
      <c r="M119" s="718"/>
      <c r="N119" s="718"/>
      <c r="O119" s="718"/>
    </row>
    <row r="120" spans="2:15">
      <c r="B120" s="717"/>
      <c r="C120" s="33" t="s">
        <v>303</v>
      </c>
      <c r="D120" s="718"/>
      <c r="E120" s="718"/>
      <c r="F120" s="718"/>
      <c r="G120" s="718"/>
      <c r="H120" s="718"/>
      <c r="I120" s="718"/>
      <c r="J120" s="718"/>
      <c r="K120" s="718"/>
      <c r="L120" s="718"/>
      <c r="M120" s="718"/>
      <c r="N120" s="718"/>
      <c r="O120" s="718"/>
    </row>
    <row r="121" spans="2:15">
      <c r="B121" s="714"/>
      <c r="C121" s="714" t="s">
        <v>304</v>
      </c>
      <c r="D121" s="716"/>
      <c r="E121" s="80"/>
      <c r="F121" s="88">
        <f>'3FS'!E74</f>
        <v>0</v>
      </c>
      <c r="G121" s="88">
        <f>'3FS'!F74</f>
        <v>1.0920000000000001</v>
      </c>
      <c r="H121" s="88">
        <f>'3FS'!G74</f>
        <v>1.1379999999999999</v>
      </c>
      <c r="I121" s="88">
        <f>'3FS'!H74</f>
        <v>1.5960000000000001</v>
      </c>
      <c r="J121" s="88">
        <f>'3FS'!I74</f>
        <v>1.921</v>
      </c>
      <c r="K121" s="720">
        <f ca="1">K127*K123</f>
        <v>2.2010836282424417</v>
      </c>
      <c r="L121" s="720">
        <f ca="1">L127*L123</f>
        <v>4.1148128587018649</v>
      </c>
      <c r="M121" s="720">
        <f ca="1">M127*M123</f>
        <v>7.7970011000394299</v>
      </c>
      <c r="N121" s="720">
        <f ca="1">N127*N123</f>
        <v>14.3847424314084</v>
      </c>
      <c r="O121" s="720">
        <f ca="1">O127*O123</f>
        <v>26.399482506728507</v>
      </c>
    </row>
    <row r="122" spans="2:15">
      <c r="B122" s="714"/>
      <c r="C122" s="714" t="s">
        <v>305</v>
      </c>
      <c r="D122" s="716"/>
      <c r="E122" s="80"/>
      <c r="F122" s="88">
        <f>'3FS'!E81</f>
        <v>0</v>
      </c>
      <c r="G122" s="88">
        <f>'3FS'!F81</f>
        <v>3.2410000000000001</v>
      </c>
      <c r="H122" s="88">
        <f>'3FS'!G81</f>
        <v>4.2560000000000002</v>
      </c>
      <c r="I122" s="88">
        <f>'3FS'!H81</f>
        <v>3.4380000000000002</v>
      </c>
      <c r="J122" s="88">
        <f>'3FS'!I81</f>
        <v>1.6739999999999999</v>
      </c>
      <c r="K122" s="720">
        <f ca="1">K128*K123</f>
        <v>4.4973252945479736</v>
      </c>
      <c r="L122" s="720">
        <f ca="1">L128*L123</f>
        <v>8.4075187849849478</v>
      </c>
      <c r="M122" s="720">
        <f ca="1">M128*M123</f>
        <v>15.931084952381166</v>
      </c>
      <c r="N122" s="720">
        <f ca="1">N128*N123</f>
        <v>29.39137121472643</v>
      </c>
      <c r="O122" s="720">
        <f ca="1">O128*O123</f>
        <v>53.940276924093993</v>
      </c>
    </row>
    <row r="123" spans="2:15">
      <c r="B123" s="150"/>
      <c r="C123" s="302" t="s">
        <v>306</v>
      </c>
      <c r="D123" s="303"/>
      <c r="E123" s="304"/>
      <c r="F123" s="305">
        <f>SUM(F121:F122)</f>
        <v>0</v>
      </c>
      <c r="G123" s="305">
        <f>SUM(G121:G122)</f>
        <v>4.3330000000000002</v>
      </c>
      <c r="H123" s="305">
        <f>SUM(H121:H122)</f>
        <v>5.3940000000000001</v>
      </c>
      <c r="I123" s="305">
        <f>SUM(I121:I122)</f>
        <v>5.0340000000000007</v>
      </c>
      <c r="J123" s="305">
        <f>SUM(J121:J122)</f>
        <v>3.5949999999999998</v>
      </c>
      <c r="K123" s="305">
        <f ca="1">SUM(K140,K147)</f>
        <v>6.6984089227904153</v>
      </c>
      <c r="L123" s="305">
        <f ca="1">SUM(L140,L147)</f>
        <v>12.522331643686812</v>
      </c>
      <c r="M123" s="305">
        <f ca="1">SUM(M140,M147)</f>
        <v>23.728086052420597</v>
      </c>
      <c r="N123" s="305">
        <f ca="1">SUM(N140,N147)</f>
        <v>43.776113646134831</v>
      </c>
      <c r="O123" s="305">
        <f ca="1">SUM(O140,O147)</f>
        <v>80.339759430822497</v>
      </c>
    </row>
    <row r="124" spans="2:15" s="65" customFormat="1">
      <c r="B124" s="353"/>
      <c r="C124" s="354" t="s">
        <v>161</v>
      </c>
      <c r="D124" s="355"/>
      <c r="E124" s="91"/>
      <c r="F124" s="91"/>
      <c r="G124" s="91"/>
      <c r="H124" s="91">
        <f t="shared" ref="H124:O124" si="42">H123/G123-1</f>
        <v>0.2448649896145858</v>
      </c>
      <c r="I124" s="91">
        <f t="shared" si="42"/>
        <v>-6.6740823136818617E-2</v>
      </c>
      <c r="J124" s="91">
        <f t="shared" si="42"/>
        <v>-0.28585617798967045</v>
      </c>
      <c r="K124" s="91">
        <f t="shared" ca="1" si="42"/>
        <v>0.86325700216701406</v>
      </c>
      <c r="L124" s="91">
        <f t="shared" ca="1" si="42"/>
        <v>0.86944866878480642</v>
      </c>
      <c r="M124" s="91">
        <f t="shared" ca="1" si="42"/>
        <v>0.8948616541699097</v>
      </c>
      <c r="N124" s="91">
        <f t="shared" ca="1" si="42"/>
        <v>0.84490706706911389</v>
      </c>
      <c r="O124" s="91">
        <f t="shared" ca="1" si="42"/>
        <v>0.83524193308366046</v>
      </c>
    </row>
    <row r="125" spans="2:15">
      <c r="B125" s="150"/>
      <c r="C125" s="89"/>
      <c r="D125" s="90"/>
      <c r="E125" s="91"/>
      <c r="F125" s="91"/>
      <c r="G125" s="91"/>
      <c r="H125" s="91"/>
      <c r="I125" s="91"/>
      <c r="J125" s="91"/>
      <c r="K125" s="720"/>
      <c r="L125" s="91"/>
      <c r="M125" s="91"/>
      <c r="N125" s="92"/>
      <c r="O125" s="92"/>
    </row>
    <row r="126" spans="2:15">
      <c r="B126" s="718"/>
      <c r="C126" s="33" t="s">
        <v>307</v>
      </c>
      <c r="D126" s="718"/>
      <c r="E126" s="718"/>
      <c r="F126" s="718"/>
      <c r="G126" s="718"/>
      <c r="H126" s="718"/>
      <c r="I126" s="718"/>
      <c r="J126" s="718"/>
      <c r="K126" s="718"/>
      <c r="L126" s="718"/>
      <c r="M126" s="718"/>
      <c r="N126" s="718"/>
      <c r="O126" s="718"/>
    </row>
    <row r="127" spans="2:15" s="65" customFormat="1">
      <c r="B127" s="93"/>
      <c r="C127" s="348" t="s">
        <v>308</v>
      </c>
      <c r="D127" s="349"/>
      <c r="E127" s="350"/>
      <c r="F127" s="93"/>
      <c r="G127" s="93">
        <f t="shared" ref="G127:J127" si="43">G121/G$123</f>
        <v>0.25201938610662361</v>
      </c>
      <c r="H127" s="93">
        <f t="shared" si="43"/>
        <v>0.21097515758249905</v>
      </c>
      <c r="I127" s="93">
        <f t="shared" si="43"/>
        <v>0.31704410011918949</v>
      </c>
      <c r="J127" s="93">
        <f t="shared" si="43"/>
        <v>0.53435326842837283</v>
      </c>
      <c r="K127" s="94">
        <f>AVERAGE(F127:J127)</f>
        <v>0.32859797805917124</v>
      </c>
      <c r="L127" s="94">
        <f t="shared" ref="L127:O128" si="44">K127</f>
        <v>0.32859797805917124</v>
      </c>
      <c r="M127" s="94">
        <f t="shared" si="44"/>
        <v>0.32859797805917124</v>
      </c>
      <c r="N127" s="94">
        <f t="shared" si="44"/>
        <v>0.32859797805917124</v>
      </c>
      <c r="O127" s="94">
        <f t="shared" si="44"/>
        <v>0.32859797805917124</v>
      </c>
    </row>
    <row r="128" spans="2:15" s="65" customFormat="1">
      <c r="B128" s="93"/>
      <c r="C128" s="348" t="s">
        <v>309</v>
      </c>
      <c r="D128" s="349"/>
      <c r="E128" s="350"/>
      <c r="F128" s="93"/>
      <c r="G128" s="93">
        <f t="shared" ref="G128:J128" si="45">G122/G$123</f>
        <v>0.74798061389337644</v>
      </c>
      <c r="H128" s="93">
        <f t="shared" si="45"/>
        <v>0.78902484241750093</v>
      </c>
      <c r="I128" s="93">
        <f t="shared" si="45"/>
        <v>0.6829558998808104</v>
      </c>
      <c r="J128" s="93">
        <f t="shared" si="45"/>
        <v>0.46564673157162728</v>
      </c>
      <c r="K128" s="95">
        <f>AVERAGE(F128:J128)</f>
        <v>0.67140202194082876</v>
      </c>
      <c r="L128" s="95">
        <f t="shared" si="44"/>
        <v>0.67140202194082876</v>
      </c>
      <c r="M128" s="95">
        <f t="shared" si="44"/>
        <v>0.67140202194082876</v>
      </c>
      <c r="N128" s="95">
        <f t="shared" si="44"/>
        <v>0.67140202194082876</v>
      </c>
      <c r="O128" s="95">
        <f t="shared" si="44"/>
        <v>0.67140202194082876</v>
      </c>
    </row>
    <row r="129" spans="2:15" s="65" customFormat="1">
      <c r="B129" s="721"/>
      <c r="C129" s="351" t="s">
        <v>310</v>
      </c>
      <c r="D129" s="722"/>
      <c r="E129" s="352"/>
      <c r="F129" s="351"/>
      <c r="G129" s="306">
        <f t="shared" ref="G129:O129" si="46">SUM(G127:G128)</f>
        <v>1</v>
      </c>
      <c r="H129" s="306">
        <f t="shared" si="46"/>
        <v>1</v>
      </c>
      <c r="I129" s="306">
        <f t="shared" si="46"/>
        <v>0.99999999999999989</v>
      </c>
      <c r="J129" s="306">
        <f t="shared" si="46"/>
        <v>1</v>
      </c>
      <c r="K129" s="306">
        <f t="shared" si="46"/>
        <v>1</v>
      </c>
      <c r="L129" s="306">
        <f t="shared" si="46"/>
        <v>1</v>
      </c>
      <c r="M129" s="306">
        <f t="shared" si="46"/>
        <v>1</v>
      </c>
      <c r="N129" s="306">
        <f t="shared" si="46"/>
        <v>1</v>
      </c>
      <c r="O129" s="306">
        <f t="shared" si="46"/>
        <v>1</v>
      </c>
    </row>
    <row r="130" spans="2:15">
      <c r="B130" s="711"/>
      <c r="C130" s="73"/>
      <c r="D130" s="713"/>
      <c r="E130" s="74"/>
      <c r="F130" s="96"/>
      <c r="G130" s="96"/>
      <c r="H130" s="96"/>
      <c r="I130" s="96"/>
      <c r="J130" s="96"/>
      <c r="K130" s="96"/>
      <c r="L130" s="96"/>
      <c r="M130" s="96"/>
      <c r="N130" s="96"/>
      <c r="O130" s="96"/>
    </row>
    <row r="131" spans="2:15">
      <c r="B131" s="711"/>
      <c r="C131" s="307" t="s">
        <v>311</v>
      </c>
      <c r="D131" s="723"/>
      <c r="E131" s="308"/>
      <c r="F131" s="724"/>
      <c r="G131" s="724"/>
      <c r="H131" s="724"/>
      <c r="I131" s="724"/>
      <c r="J131" s="724"/>
      <c r="K131" s="305">
        <f ca="1">-SUM(K138,K145)</f>
        <v>-0.40892569041113941</v>
      </c>
      <c r="L131" s="305">
        <f ca="1">-SUM(L138,L145)</f>
        <v>-0.78533594213031843</v>
      </c>
      <c r="M131" s="305">
        <f ca="1">-SUM(M138,M145)</f>
        <v>-1.5143286258644022</v>
      </c>
      <c r="N131" s="305">
        <f ca="1">-SUM(N138,N145)</f>
        <v>-2.8307028126223908</v>
      </c>
      <c r="O131" s="309">
        <f ca="1">-SUM(O138,O145)</f>
        <v>-5.2438695195947211</v>
      </c>
    </row>
    <row r="132" spans="2:15">
      <c r="B132" s="711"/>
      <c r="C132" s="97" t="s">
        <v>312</v>
      </c>
      <c r="D132" s="713"/>
      <c r="E132" s="74"/>
      <c r="F132" s="725"/>
      <c r="G132" s="725"/>
      <c r="H132" s="725"/>
      <c r="I132" s="725"/>
      <c r="J132" s="725"/>
      <c r="K132" s="92">
        <f ca="1">K133-K131</f>
        <v>-1.4801048854323722</v>
      </c>
      <c r="L132" s="92">
        <f ca="1">L133-L131</f>
        <v>-3.1843871989195573</v>
      </c>
      <c r="M132" s="92">
        <f ca="1">M133-M131</f>
        <v>-6.5584864648674488</v>
      </c>
      <c r="N132" s="92">
        <f ca="1">N133-N131</f>
        <v>-12.837942606312989</v>
      </c>
      <c r="O132" s="98">
        <f ca="1">O133-O131</f>
        <v>-24.537630961071923</v>
      </c>
    </row>
    <row r="133" spans="2:15">
      <c r="B133" s="711"/>
      <c r="C133" s="97" t="s">
        <v>313</v>
      </c>
      <c r="D133" s="713"/>
      <c r="E133" s="74"/>
      <c r="F133" s="725"/>
      <c r="G133" s="725"/>
      <c r="H133" s="725"/>
      <c r="I133" s="725"/>
      <c r="J133" s="725"/>
      <c r="K133" s="92">
        <f ca="1">K139+K146</f>
        <v>-1.8890305758435115</v>
      </c>
      <c r="L133" s="92">
        <f ca="1">L139+L146</f>
        <v>-3.9697231410498759</v>
      </c>
      <c r="M133" s="92">
        <f ca="1">M139+M146</f>
        <v>-8.0728150907318508</v>
      </c>
      <c r="N133" s="92">
        <f ca="1">N139+N146</f>
        <v>-15.66864541893538</v>
      </c>
      <c r="O133" s="98">
        <f ca="1">O139+O146</f>
        <v>-29.781500480666644</v>
      </c>
    </row>
    <row r="134" spans="2:15">
      <c r="B134" s="711"/>
      <c r="C134" s="99" t="s">
        <v>314</v>
      </c>
      <c r="D134" s="726"/>
      <c r="E134" s="100"/>
      <c r="F134" s="727"/>
      <c r="G134" s="727"/>
      <c r="H134" s="727"/>
      <c r="I134" s="727"/>
      <c r="J134" s="727"/>
      <c r="K134" s="101">
        <f ca="1">SUM(K144)</f>
        <v>4.5835138082227882</v>
      </c>
      <c r="L134" s="101">
        <f ca="1">SUM(L144)</f>
        <v>9.008309919815952</v>
      </c>
      <c r="M134" s="101">
        <f ca="1">SUM(M144)</f>
        <v>17.764240873601231</v>
      </c>
      <c r="N134" s="101">
        <f ca="1">SUM(N144)</f>
        <v>32.885970200027224</v>
      </c>
      <c r="O134" s="102">
        <f ca="1">SUM(O144)</f>
        <v>61.101276745759591</v>
      </c>
    </row>
    <row r="135" spans="2:15">
      <c r="B135" s="711"/>
      <c r="C135" s="73"/>
      <c r="D135" s="713"/>
      <c r="E135" s="74"/>
      <c r="F135" s="96"/>
      <c r="G135" s="96"/>
      <c r="H135" s="96"/>
      <c r="I135" s="96"/>
      <c r="J135" s="96"/>
      <c r="K135" s="92"/>
      <c r="L135" s="92"/>
      <c r="M135" s="92"/>
      <c r="N135" s="92"/>
      <c r="O135" s="92"/>
    </row>
    <row r="136" spans="2:15">
      <c r="B136" s="717"/>
      <c r="C136" s="77" t="s">
        <v>315</v>
      </c>
      <c r="D136" s="78"/>
      <c r="E136" s="79"/>
      <c r="F136" s="77"/>
      <c r="G136" s="77"/>
      <c r="H136" s="77"/>
      <c r="I136" s="77"/>
      <c r="J136" s="77"/>
      <c r="K136" s="77"/>
      <c r="L136" s="77"/>
      <c r="M136" s="77"/>
      <c r="N136" s="77"/>
      <c r="O136" s="77"/>
    </row>
    <row r="137" spans="2:15">
      <c r="B137" s="718"/>
      <c r="C137" s="728" t="s">
        <v>316</v>
      </c>
      <c r="D137" s="713"/>
      <c r="E137" s="74"/>
      <c r="F137" s="725"/>
      <c r="G137" s="725"/>
      <c r="H137" s="725"/>
      <c r="I137" s="725"/>
      <c r="J137" s="725"/>
      <c r="K137" s="103">
        <f>J123</f>
        <v>3.5949999999999998</v>
      </c>
      <c r="L137" s="103">
        <f>K140</f>
        <v>2.9443956007288756</v>
      </c>
      <c r="M137" s="103">
        <f>L140</f>
        <v>2.2612609814941953</v>
      </c>
      <c r="N137" s="103">
        <f>M140</f>
        <v>1.5439696312977815</v>
      </c>
      <c r="O137" s="103">
        <f>N140</f>
        <v>0.79081371359154695</v>
      </c>
    </row>
    <row r="138" spans="2:15">
      <c r="B138" s="718"/>
      <c r="C138" s="728" t="s">
        <v>317</v>
      </c>
      <c r="D138" s="713"/>
      <c r="E138" s="74"/>
      <c r="F138" s="725"/>
      <c r="G138" s="725"/>
      <c r="H138" s="725"/>
      <c r="I138" s="725"/>
      <c r="J138" s="725"/>
      <c r="K138" s="103">
        <f>K137*$D$115</f>
        <v>0.17974999999999999</v>
      </c>
      <c r="L138" s="103">
        <f t="shared" ref="L138:O138" si="47">L137*$D$115</f>
        <v>0.14721978003644379</v>
      </c>
      <c r="M138" s="103">
        <f t="shared" si="47"/>
        <v>0.11306304907470976</v>
      </c>
      <c r="N138" s="103">
        <f t="shared" si="47"/>
        <v>7.7198481564889079E-2</v>
      </c>
      <c r="O138" s="103">
        <f t="shared" si="47"/>
        <v>3.9540685679577352E-2</v>
      </c>
    </row>
    <row r="139" spans="2:15">
      <c r="B139" s="718"/>
      <c r="C139" s="728" t="s">
        <v>318</v>
      </c>
      <c r="D139" s="713"/>
      <c r="E139" s="74"/>
      <c r="F139" s="725"/>
      <c r="G139" s="725"/>
      <c r="H139" s="725"/>
      <c r="I139" s="725"/>
      <c r="J139" s="725"/>
      <c r="K139" s="103">
        <f>$D$118</f>
        <v>-0.83035439927112376</v>
      </c>
      <c r="L139" s="103">
        <f t="shared" ref="L139:O139" si="48">$D$118</f>
        <v>-0.83035439927112376</v>
      </c>
      <c r="M139" s="103">
        <f t="shared" si="48"/>
        <v>-0.83035439927112376</v>
      </c>
      <c r="N139" s="103">
        <f t="shared" si="48"/>
        <v>-0.83035439927112376</v>
      </c>
      <c r="O139" s="103">
        <f t="shared" si="48"/>
        <v>-0.83035439927112376</v>
      </c>
    </row>
    <row r="140" spans="2:15">
      <c r="B140" s="718"/>
      <c r="C140" s="310" t="s">
        <v>319</v>
      </c>
      <c r="D140" s="723"/>
      <c r="E140" s="308"/>
      <c r="F140" s="724"/>
      <c r="G140" s="724"/>
      <c r="H140" s="724"/>
      <c r="I140" s="724"/>
      <c r="J140" s="724"/>
      <c r="K140" s="305">
        <f>SUM(K137:K139)</f>
        <v>2.9443956007288756</v>
      </c>
      <c r="L140" s="305">
        <f>SUM(L137:L139)</f>
        <v>2.2612609814941953</v>
      </c>
      <c r="M140" s="305">
        <f>SUM(M137:M139)</f>
        <v>1.5439696312977815</v>
      </c>
      <c r="N140" s="305">
        <f>SUM(N137:N139)</f>
        <v>0.79081371359154695</v>
      </c>
      <c r="O140" s="305">
        <f>SUM(O137:O139)</f>
        <v>0</v>
      </c>
    </row>
    <row r="141" spans="2:15">
      <c r="B141" s="103"/>
      <c r="C141" s="103"/>
      <c r="D141" s="103"/>
      <c r="E141" s="103"/>
      <c r="F141" s="103"/>
      <c r="G141" s="103"/>
      <c r="H141" s="103"/>
      <c r="I141" s="103"/>
      <c r="J141" s="103"/>
      <c r="K141" s="103"/>
      <c r="L141" s="103"/>
      <c r="M141" s="103"/>
      <c r="N141" s="103"/>
      <c r="O141" s="103"/>
    </row>
    <row r="142" spans="2:15">
      <c r="B142" s="712"/>
      <c r="C142" s="77" t="s">
        <v>320</v>
      </c>
      <c r="D142" s="78"/>
      <c r="E142" s="79"/>
      <c r="F142" s="77"/>
      <c r="G142" s="77"/>
      <c r="H142" s="77"/>
      <c r="I142" s="77"/>
      <c r="J142" s="77"/>
      <c r="K142" s="104"/>
      <c r="L142" s="104"/>
      <c r="M142" s="104"/>
      <c r="N142" s="104"/>
      <c r="O142" s="104"/>
    </row>
    <row r="143" spans="2:15">
      <c r="B143" s="712"/>
      <c r="C143" s="728" t="s">
        <v>321</v>
      </c>
      <c r="D143" s="729"/>
      <c r="E143" s="105"/>
      <c r="F143" s="725"/>
      <c r="G143" s="725"/>
      <c r="H143" s="725"/>
      <c r="I143" s="725"/>
      <c r="J143" s="725"/>
      <c r="K143" s="106">
        <v>0</v>
      </c>
      <c r="L143" s="103">
        <f ca="1">K147</f>
        <v>3.7540133220615397</v>
      </c>
      <c r="M143" s="103">
        <f ca="1">L147</f>
        <v>10.261070662192616</v>
      </c>
      <c r="N143" s="103">
        <f ca="1">M147</f>
        <v>22.184116421122816</v>
      </c>
      <c r="O143" s="103">
        <f ca="1">N147</f>
        <v>42.985299932543285</v>
      </c>
    </row>
    <row r="144" spans="2:15">
      <c r="B144" s="712"/>
      <c r="C144" s="728" t="s">
        <v>322</v>
      </c>
      <c r="D144" s="729"/>
      <c r="E144" s="105"/>
      <c r="F144" s="725"/>
      <c r="G144" s="725"/>
      <c r="H144" s="725"/>
      <c r="I144" s="725"/>
      <c r="J144" s="725"/>
      <c r="K144" s="103">
        <f ca="1">K164</f>
        <v>4.5835138082227882</v>
      </c>
      <c r="L144" s="103">
        <f t="shared" ref="L144:O144" ca="1" si="49">L164</f>
        <v>9.008309919815952</v>
      </c>
      <c r="M144" s="103">
        <f t="shared" ca="1" si="49"/>
        <v>17.764240873601231</v>
      </c>
      <c r="N144" s="103">
        <f t="shared" ca="1" si="49"/>
        <v>32.885970200027224</v>
      </c>
      <c r="O144" s="103">
        <f t="shared" ca="1" si="49"/>
        <v>61.101276745759591</v>
      </c>
    </row>
    <row r="145" spans="2:15">
      <c r="B145" s="712"/>
      <c r="C145" s="728" t="s">
        <v>317</v>
      </c>
      <c r="D145" s="729"/>
      <c r="E145" s="105"/>
      <c r="F145" s="725"/>
      <c r="G145" s="725"/>
      <c r="H145" s="725"/>
      <c r="I145" s="725"/>
      <c r="J145" s="725"/>
      <c r="K145" s="103">
        <f ca="1">K160</f>
        <v>0.22917569041113942</v>
      </c>
      <c r="L145" s="103">
        <f ca="1">L160</f>
        <v>0.63811616209387467</v>
      </c>
      <c r="M145" s="103">
        <f ca="1">M160</f>
        <v>1.4012655767896924</v>
      </c>
      <c r="N145" s="103">
        <f ca="1">N160</f>
        <v>2.7535043310575018</v>
      </c>
      <c r="O145" s="103">
        <f ca="1">O160</f>
        <v>5.2043288339151434</v>
      </c>
    </row>
    <row r="146" spans="2:15">
      <c r="B146" s="712"/>
      <c r="C146" s="728" t="s">
        <v>318</v>
      </c>
      <c r="D146" s="729"/>
      <c r="E146" s="105"/>
      <c r="F146" s="725"/>
      <c r="G146" s="725"/>
      <c r="H146" s="725"/>
      <c r="I146" s="725"/>
      <c r="J146" s="725"/>
      <c r="K146" s="103">
        <f ca="1">SUM(OFFSET($K$152,0,0,1,K$6-$J$6))</f>
        <v>-1.0586761765723878</v>
      </c>
      <c r="L146" s="103">
        <f ca="1">SUM(OFFSET($K$152,0,0,1,L$6-$J$6))</f>
        <v>-3.1393687417787524</v>
      </c>
      <c r="M146" s="103">
        <f ca="1">SUM(OFFSET($K$152,0,0,1,M$6-$J$6))</f>
        <v>-7.2424606914607264</v>
      </c>
      <c r="N146" s="103">
        <f ca="1">SUM(OFFSET($K$152,0,0,1,N$6-$J$6))</f>
        <v>-14.838291019664256</v>
      </c>
      <c r="O146" s="103">
        <f ca="1">SUM(OFFSET($K$152,0,0,1,O$6-$J$6))</f>
        <v>-28.951146081395521</v>
      </c>
    </row>
    <row r="147" spans="2:15">
      <c r="B147" s="73"/>
      <c r="C147" s="310" t="s">
        <v>323</v>
      </c>
      <c r="D147" s="311"/>
      <c r="E147" s="312"/>
      <c r="F147" s="313"/>
      <c r="G147" s="313"/>
      <c r="H147" s="313"/>
      <c r="I147" s="313"/>
      <c r="J147" s="313"/>
      <c r="K147" s="305">
        <f ca="1">SUM(K143:K146)</f>
        <v>3.7540133220615397</v>
      </c>
      <c r="L147" s="305">
        <f ca="1">SUM(L143:L146)</f>
        <v>10.261070662192616</v>
      </c>
      <c r="M147" s="305">
        <f ca="1">SUM(M143:M146)</f>
        <v>22.184116421122816</v>
      </c>
      <c r="N147" s="305">
        <f ca="1">SUM(N143:N146)</f>
        <v>42.985299932543285</v>
      </c>
      <c r="O147" s="305">
        <f ca="1">SUM(O143:O146)</f>
        <v>80.339759430822497</v>
      </c>
    </row>
    <row r="148" spans="2:15">
      <c r="B148" s="712"/>
      <c r="C148" s="712"/>
      <c r="D148" s="713"/>
      <c r="E148" s="74"/>
      <c r="F148" s="712"/>
      <c r="G148" s="712"/>
      <c r="H148" s="712"/>
      <c r="I148" s="712"/>
      <c r="J148" s="730"/>
      <c r="K148" s="731"/>
      <c r="L148" s="731"/>
      <c r="M148" s="731"/>
      <c r="N148" s="731"/>
      <c r="O148" s="732"/>
    </row>
    <row r="149" spans="2:15" s="65" customFormat="1">
      <c r="B149" s="733"/>
      <c r="C149" s="356" t="s">
        <v>300</v>
      </c>
      <c r="D149" s="734"/>
      <c r="E149" s="357"/>
      <c r="F149" s="733"/>
      <c r="G149" s="733"/>
      <c r="H149" s="733"/>
      <c r="I149" s="733"/>
      <c r="J149" s="733"/>
      <c r="K149" s="82">
        <v>0.05</v>
      </c>
      <c r="L149" s="82">
        <v>0.05</v>
      </c>
      <c r="M149" s="82">
        <v>0.05</v>
      </c>
      <c r="N149" s="82">
        <v>0.05</v>
      </c>
      <c r="O149" s="82">
        <v>0.05</v>
      </c>
    </row>
    <row r="150" spans="2:15">
      <c r="B150" s="712"/>
      <c r="C150" s="81" t="s">
        <v>324</v>
      </c>
      <c r="D150" s="713"/>
      <c r="E150" s="74"/>
      <c r="F150" s="712"/>
      <c r="G150" s="712"/>
      <c r="H150" s="712"/>
      <c r="I150" s="712"/>
      <c r="J150" s="712"/>
      <c r="K150" s="85">
        <v>5</v>
      </c>
      <c r="L150" s="85">
        <v>5</v>
      </c>
      <c r="M150" s="85">
        <v>5</v>
      </c>
      <c r="N150" s="85">
        <v>5</v>
      </c>
      <c r="O150" s="85">
        <v>5</v>
      </c>
    </row>
    <row r="151" spans="2:15">
      <c r="B151" s="712"/>
      <c r="C151" s="81" t="s">
        <v>301</v>
      </c>
      <c r="D151" s="713"/>
      <c r="E151" s="74"/>
      <c r="F151" s="712"/>
      <c r="G151" s="712"/>
      <c r="H151" s="712"/>
      <c r="I151" s="712"/>
      <c r="J151" s="735"/>
      <c r="K151" s="86">
        <f ca="1">K144</f>
        <v>4.5835138082227882</v>
      </c>
      <c r="L151" s="86">
        <f t="shared" ref="L151:O151" ca="1" si="50">L144</f>
        <v>9.008309919815952</v>
      </c>
      <c r="M151" s="86">
        <f t="shared" ca="1" si="50"/>
        <v>17.764240873601231</v>
      </c>
      <c r="N151" s="86">
        <f t="shared" ca="1" si="50"/>
        <v>32.885970200027224</v>
      </c>
      <c r="O151" s="86">
        <f t="shared" ca="1" si="50"/>
        <v>61.101276745759591</v>
      </c>
    </row>
    <row r="152" spans="2:15">
      <c r="B152" s="712"/>
      <c r="C152" s="81" t="s">
        <v>302</v>
      </c>
      <c r="D152" s="713"/>
      <c r="E152" s="74"/>
      <c r="F152" s="712"/>
      <c r="G152" s="712"/>
      <c r="H152" s="712"/>
      <c r="I152" s="712"/>
      <c r="J152" s="712"/>
      <c r="K152" s="86">
        <f ca="1">PMT(K149,K150,K151,0)</f>
        <v>-1.0586761765723878</v>
      </c>
      <c r="L152" s="86">
        <f ca="1">PMT(L149,L150,L151,0)</f>
        <v>-2.0806925652063648</v>
      </c>
      <c r="M152" s="86">
        <f ca="1">PMT(M149,M150,M151,0)</f>
        <v>-4.103091949681974</v>
      </c>
      <c r="N152" s="86">
        <f ca="1">PMT(N149,N150,N151,0)</f>
        <v>-7.5958303282035295</v>
      </c>
      <c r="O152" s="86">
        <f ca="1">PMT(O149,O150,O151,0)</f>
        <v>-14.112855061731265</v>
      </c>
    </row>
    <row r="153" spans="2:15">
      <c r="B153" s="712"/>
      <c r="C153" s="712"/>
      <c r="D153" s="713"/>
      <c r="E153" s="74"/>
      <c r="F153" s="712"/>
      <c r="G153" s="712"/>
      <c r="H153" s="712"/>
      <c r="I153" s="712"/>
      <c r="J153" s="712"/>
      <c r="K153" s="732"/>
      <c r="L153" s="732"/>
      <c r="M153" s="732"/>
      <c r="N153" s="732"/>
      <c r="O153" s="732"/>
    </row>
    <row r="154" spans="2:15">
      <c r="B154" s="712"/>
      <c r="C154" s="107" t="s">
        <v>325</v>
      </c>
      <c r="D154" s="108" t="s">
        <v>326</v>
      </c>
      <c r="E154" s="108" t="s">
        <v>327</v>
      </c>
      <c r="F154" s="110"/>
      <c r="G154" s="110"/>
      <c r="H154" s="110"/>
      <c r="I154" s="110"/>
      <c r="J154" s="110"/>
      <c r="K154" s="111"/>
      <c r="L154" s="111"/>
      <c r="M154" s="111"/>
      <c r="N154" s="111"/>
      <c r="O154" s="111"/>
    </row>
    <row r="155" spans="2:15">
      <c r="B155" s="712"/>
      <c r="C155" s="112" cm="1">
        <f t="array" ref="C155:C159">TRANSPOSE($K$6:$O$6)</f>
        <v>25</v>
      </c>
      <c r="D155" s="111" cm="1">
        <f t="array" aca="1" ref="D155:D159" ca="1">TRANSPOSE(K144:O144)</f>
        <v>4.5835138082227882</v>
      </c>
      <c r="E155" s="111">
        <f t="array" aca="1" ref="E155:E159" ca="1">TRANSPOSE(K152:O152)</f>
        <v>-1.0586761765723878</v>
      </c>
      <c r="F155" s="725"/>
      <c r="G155" s="725"/>
      <c r="H155" s="725"/>
      <c r="I155" s="725"/>
      <c r="J155" s="725"/>
      <c r="K155" s="111">
        <f ca="1">IF($C155=K$6,$D155*K$149,($D155+$E155*(K$6-$C155)+SUM(OFFSET($J155,0,0,1,K$6-$J$6)))*K$149)</f>
        <v>0.22917569041113942</v>
      </c>
      <c r="L155" s="111">
        <f ca="1">IF($C155=L$6,$D155*L$149,($D155+$E155*(L$6-$C155)+SUM(OFFSET($J155,0,0,1,L$6-$J$6)))*L$149)</f>
        <v>0.18770066610307701</v>
      </c>
      <c r="M155" s="111">
        <f ca="1">IF($C155=M$6,$D155*M$149,($D155+$E155*(M$6-$C155)+SUM(OFFSET($J155,0,0,1,M$6-$J$6)))*M$149)</f>
        <v>0.14415189057961145</v>
      </c>
      <c r="N155" s="111">
        <f ca="1">IF($C155=N$6,$D155*N$149,($D155+$E155*(N$6-$C155)+SUM(OFFSET($J155,0,0,1,N$6-$J$6)))*N$149)</f>
        <v>9.842567627997266E-2</v>
      </c>
      <c r="O155" s="111">
        <f ca="1">IF($C155=O$6,$D155*O$149,($D155+$E155*(O$6-$C155)+SUM(OFFSET($J155,0,0,1,O$6-$J$6)))*O$149)</f>
        <v>5.041315126535189E-2</v>
      </c>
    </row>
    <row r="156" spans="2:15">
      <c r="B156" s="712"/>
      <c r="C156" s="112">
        <v>26</v>
      </c>
      <c r="D156" s="111">
        <f ca="1"/>
        <v>9.008309919815952</v>
      </c>
      <c r="E156" s="111">
        <f ca="1"/>
        <v>-2.0806925652063648</v>
      </c>
      <c r="F156" s="725"/>
      <c r="G156" s="725"/>
      <c r="H156" s="725"/>
      <c r="I156" s="725"/>
      <c r="J156" s="725"/>
      <c r="K156" s="725"/>
      <c r="L156" s="111">
        <f ca="1">IF($C156=L$6,$D156*L$149,($D156+$E156*(L$6-$C156)+SUM(OFFSET($J156,0,0,1,L$6-$J$6)))*L$149)</f>
        <v>0.45041549599079761</v>
      </c>
      <c r="M156" s="111">
        <f ca="1">IF($C156=M$6,$D156*M$149,($D156+$E156*(M$6-$C156)+SUM(OFFSET($J156,0,0,1,M$6-$J$6)))*M$149)</f>
        <v>0.36890164253001928</v>
      </c>
      <c r="N156" s="111">
        <f ca="1">IF($C156=N$6,$D156*N$149,($D156+$E156*(N$6-$C156)+SUM(OFFSET($J156,0,0,1,N$6-$J$6)))*N$149)</f>
        <v>0.28331209639620197</v>
      </c>
      <c r="O156" s="111">
        <f ca="1">IF($C156=O$6,$D156*O$149,($D156+$E156*(O$6-$C156)+SUM(OFFSET($J156,0,0,1,O$6-$J$6)))*O$149)</f>
        <v>0.1934430729556938</v>
      </c>
    </row>
    <row r="157" spans="2:15">
      <c r="B157" s="712"/>
      <c r="C157" s="112">
        <v>27</v>
      </c>
      <c r="D157" s="111">
        <f ca="1"/>
        <v>17.764240873601231</v>
      </c>
      <c r="E157" s="111">
        <f ca="1"/>
        <v>-4.103091949681974</v>
      </c>
      <c r="F157" s="725"/>
      <c r="G157" s="725"/>
      <c r="H157" s="725"/>
      <c r="I157" s="725"/>
      <c r="J157" s="725"/>
      <c r="K157" s="725"/>
      <c r="L157" s="725"/>
      <c r="M157" s="111">
        <f ca="1">IF($C157=M$6,$D157*M$149,($D157+$E157*(M$6-$C157)+SUM(OFFSET($J157,0,0,1,M$6-$J$6)))*M$149)</f>
        <v>0.88821204368006157</v>
      </c>
      <c r="N157" s="111">
        <f ca="1">IF($C157=N$6,$D157*N$149,($D157+$E157*(N$6-$C157)+SUM(OFFSET($J157,0,0,1,N$6-$J$6)))*N$149)</f>
        <v>0.72746804837996593</v>
      </c>
      <c r="O157" s="111">
        <f ca="1">IF($C157=O$6,$D157*O$149,($D157+$E157*(O$6-$C157)+SUM(OFFSET($J157,0,0,1,O$6-$J$6)))*O$149)</f>
        <v>0.55868685331486556</v>
      </c>
    </row>
    <row r="158" spans="2:15">
      <c r="B158" s="712"/>
      <c r="C158" s="112">
        <v>28</v>
      </c>
      <c r="D158" s="111">
        <f ca="1"/>
        <v>32.885970200027224</v>
      </c>
      <c r="E158" s="111">
        <f ca="1"/>
        <v>-7.5958303282035295</v>
      </c>
      <c r="F158" s="725"/>
      <c r="G158" s="725"/>
      <c r="H158" s="725"/>
      <c r="I158" s="725"/>
      <c r="J158" s="725"/>
      <c r="K158" s="725"/>
      <c r="L158" s="725"/>
      <c r="M158" s="725"/>
      <c r="N158" s="111">
        <f ca="1">IF($C158=N$6,$D158*N$149,($D158+$E158*(N$6-$C158)+SUM(OFFSET($J158,0,0,1,N$6-$J$6)))*N$149)</f>
        <v>1.6442985100013612</v>
      </c>
      <c r="O158" s="111">
        <f ca="1">IF($C158=O$6,$D158*O$149,($D158+$E158*(O$6-$C158)+SUM(OFFSET($J158,0,0,1,O$6-$J$6)))*O$149)</f>
        <v>1.3467219190912527</v>
      </c>
    </row>
    <row r="159" spans="2:15">
      <c r="B159" s="715"/>
      <c r="C159" s="112">
        <v>29</v>
      </c>
      <c r="D159" s="111">
        <f ca="1"/>
        <v>61.101276745759591</v>
      </c>
      <c r="E159" s="111">
        <f ca="1"/>
        <v>-14.112855061731265</v>
      </c>
      <c r="F159" s="725"/>
      <c r="G159" s="725"/>
      <c r="H159" s="725"/>
      <c r="I159" s="725"/>
      <c r="J159" s="725"/>
      <c r="K159" s="725"/>
      <c r="L159" s="725"/>
      <c r="M159" s="725"/>
      <c r="N159" s="725"/>
      <c r="O159" s="111">
        <f ca="1">IF($C159=O$6,$D159*O$149,($D159+$E159*(O$6-$C159)+SUM(OFFSET($J159,0,0,1,O$6-$J$6)))*O$149)</f>
        <v>3.0550638372879799</v>
      </c>
    </row>
    <row r="160" spans="2:15">
      <c r="B160" s="76"/>
      <c r="C160" s="314" t="s">
        <v>328</v>
      </c>
      <c r="D160" s="315"/>
      <c r="E160" s="316"/>
      <c r="F160" s="724"/>
      <c r="G160" s="724"/>
      <c r="H160" s="724"/>
      <c r="I160" s="724"/>
      <c r="J160" s="724"/>
      <c r="K160" s="305">
        <f ca="1">SUM(K155:K159)</f>
        <v>0.22917569041113942</v>
      </c>
      <c r="L160" s="305">
        <f ca="1">SUM(L155:L159)</f>
        <v>0.63811616209387467</v>
      </c>
      <c r="M160" s="305">
        <f ca="1">SUM(M155:M159)</f>
        <v>1.4012655767896924</v>
      </c>
      <c r="N160" s="305">
        <f ca="1">SUM(N155:N159)</f>
        <v>2.7535043310575018</v>
      </c>
      <c r="O160" s="305">
        <f ca="1">SUM(O155:O159)</f>
        <v>5.2043288339151434</v>
      </c>
    </row>
    <row r="161" spans="2:15">
      <c r="B161" s="76"/>
      <c r="C161" s="114"/>
      <c r="D161" s="115"/>
      <c r="E161" s="116"/>
      <c r="F161" s="117"/>
      <c r="G161" s="117"/>
      <c r="H161" s="117"/>
      <c r="I161" s="117"/>
      <c r="J161" s="117"/>
      <c r="K161" s="92"/>
      <c r="L161" s="92"/>
      <c r="M161" s="92"/>
      <c r="N161" s="92"/>
      <c r="O161" s="92"/>
    </row>
    <row r="162" spans="2:15">
      <c r="B162" s="73"/>
      <c r="C162" s="379" t="s">
        <v>329</v>
      </c>
      <c r="D162" s="379"/>
      <c r="E162" s="379"/>
      <c r="F162" s="379"/>
      <c r="G162" s="379"/>
      <c r="H162" s="379"/>
      <c r="I162" s="379"/>
      <c r="J162" s="379"/>
      <c r="K162" s="379"/>
      <c r="L162" s="379"/>
      <c r="M162" s="379"/>
      <c r="N162" s="379"/>
      <c r="O162" s="379"/>
    </row>
    <row r="163" spans="2:15">
      <c r="B163" s="712"/>
      <c r="C163" s="712"/>
      <c r="D163" s="713"/>
      <c r="E163" s="74"/>
      <c r="F163" s="712"/>
      <c r="G163" s="712"/>
      <c r="H163" s="712"/>
      <c r="I163" s="712"/>
      <c r="J163" s="712"/>
      <c r="K163" s="712"/>
      <c r="L163" s="712"/>
      <c r="M163" s="712"/>
      <c r="N163" s="712"/>
      <c r="O163" s="712"/>
    </row>
    <row r="164" spans="2:15">
      <c r="B164" s="73"/>
      <c r="C164" s="73" t="s">
        <v>330</v>
      </c>
      <c r="D164" s="75"/>
      <c r="E164" s="118"/>
      <c r="F164" s="119"/>
      <c r="G164" s="119"/>
      <c r="H164" s="119"/>
      <c r="I164" s="119"/>
      <c r="J164" s="119"/>
      <c r="K164" s="120">
        <f ca="1">PPE!M45</f>
        <v>4.5835138082227882</v>
      </c>
      <c r="L164" s="120">
        <f ca="1">PPE!N45</f>
        <v>9.008309919815952</v>
      </c>
      <c r="M164" s="120">
        <f ca="1">PPE!O45</f>
        <v>17.764240873601231</v>
      </c>
      <c r="N164" s="120">
        <f ca="1">PPE!P45</f>
        <v>32.885970200027224</v>
      </c>
      <c r="O164" s="120">
        <f ca="1">PPE!Q45</f>
        <v>61.101276745759591</v>
      </c>
    </row>
    <row r="165" spans="2:15" s="65" customFormat="1">
      <c r="B165" s="96"/>
      <c r="C165" s="317" t="s">
        <v>274</v>
      </c>
      <c r="D165" s="358"/>
      <c r="E165" s="359"/>
      <c r="F165" s="317">
        <v>0</v>
      </c>
      <c r="G165" s="317">
        <f>G164/G$12</f>
        <v>0</v>
      </c>
      <c r="H165" s="317">
        <f t="shared" ref="H165:J165" si="51">H164/H$12</f>
        <v>0</v>
      </c>
      <c r="I165" s="317">
        <f t="shared" si="51"/>
        <v>0</v>
      </c>
      <c r="J165" s="317">
        <f t="shared" si="51"/>
        <v>0</v>
      </c>
      <c r="K165" s="94">
        <v>0</v>
      </c>
      <c r="L165" s="94">
        <v>0</v>
      </c>
      <c r="M165" s="94">
        <v>0</v>
      </c>
      <c r="N165" s="94">
        <v>0</v>
      </c>
      <c r="O165" s="94">
        <v>0</v>
      </c>
    </row>
    <row r="166" spans="2:15">
      <c r="B166" s="73"/>
      <c r="C166" s="73"/>
      <c r="D166" s="75"/>
      <c r="E166" s="118"/>
      <c r="F166" s="712"/>
      <c r="G166" s="92"/>
      <c r="H166" s="92"/>
      <c r="I166" s="92"/>
      <c r="J166" s="92"/>
      <c r="K166" s="92"/>
      <c r="L166" s="92"/>
      <c r="M166" s="92"/>
      <c r="N166" s="92"/>
      <c r="O166" s="92"/>
    </row>
    <row r="167" spans="2:15">
      <c r="B167" s="712"/>
      <c r="C167" s="121" t="s">
        <v>331</v>
      </c>
      <c r="D167" s="122">
        <v>5</v>
      </c>
      <c r="E167" s="74"/>
      <c r="F167" s="712"/>
      <c r="G167" s="712"/>
      <c r="H167" s="712"/>
      <c r="I167" s="712"/>
      <c r="J167" s="712"/>
      <c r="K167" s="712"/>
      <c r="L167" s="712"/>
      <c r="M167" s="712"/>
      <c r="N167" s="712"/>
      <c r="O167" s="712"/>
    </row>
    <row r="168" spans="2:15">
      <c r="B168" s="712"/>
      <c r="C168" s="712"/>
      <c r="D168" s="713"/>
      <c r="E168" s="74"/>
      <c r="F168" s="712"/>
      <c r="G168" s="712"/>
      <c r="H168" s="712"/>
      <c r="I168" s="712"/>
      <c r="J168" s="712"/>
      <c r="K168" s="712"/>
      <c r="L168" s="712"/>
      <c r="M168" s="712"/>
      <c r="N168" s="712"/>
      <c r="O168" s="712"/>
    </row>
    <row r="169" spans="2:15">
      <c r="B169" s="712"/>
      <c r="C169" s="711" t="s">
        <v>332</v>
      </c>
      <c r="D169" s="713"/>
      <c r="E169" s="74"/>
      <c r="F169" s="725"/>
      <c r="G169" s="725"/>
      <c r="H169" s="725"/>
      <c r="I169" s="725"/>
      <c r="J169" s="725"/>
      <c r="K169" s="111">
        <f>J172</f>
        <v>2.9089999999999998</v>
      </c>
      <c r="L169" s="111">
        <f ca="1">K172</f>
        <v>5.9940110465782306</v>
      </c>
      <c r="M169" s="111">
        <f ca="1">L172</f>
        <v>11.702156220786435</v>
      </c>
      <c r="N169" s="111">
        <f ca="1">M172</f>
        <v>22.613384174059671</v>
      </c>
      <c r="O169" s="111">
        <f ca="1">N172</f>
        <v>42.069147413753456</v>
      </c>
    </row>
    <row r="170" spans="2:15">
      <c r="B170" s="712"/>
      <c r="C170" s="711" t="s">
        <v>322</v>
      </c>
      <c r="D170" s="713"/>
      <c r="E170" s="74"/>
      <c r="F170" s="725"/>
      <c r="G170" s="725"/>
      <c r="H170" s="725"/>
      <c r="I170" s="725"/>
      <c r="J170" s="725"/>
      <c r="K170" s="2">
        <f ca="1">K164</f>
        <v>4.5835138082227882</v>
      </c>
      <c r="L170" s="2">
        <f ca="1">L164</f>
        <v>9.008309919815952</v>
      </c>
      <c r="M170" s="2">
        <f ca="1">M164</f>
        <v>17.764240873601231</v>
      </c>
      <c r="N170" s="2">
        <f ca="1">N164</f>
        <v>32.885970200027224</v>
      </c>
      <c r="O170" s="2">
        <f ca="1">O164</f>
        <v>61.101276745759591</v>
      </c>
    </row>
    <row r="171" spans="2:15">
      <c r="B171" s="712"/>
      <c r="C171" s="711" t="s">
        <v>333</v>
      </c>
      <c r="D171" s="713"/>
      <c r="E171" s="74"/>
      <c r="F171" s="727"/>
      <c r="G171" s="727"/>
      <c r="H171" s="727"/>
      <c r="I171" s="727"/>
      <c r="J171" s="736"/>
      <c r="K171" s="123">
        <f ca="1">K182</f>
        <v>-1.4985027616445576</v>
      </c>
      <c r="L171" s="123">
        <f ca="1">L182</f>
        <v>-3.3001647456077481</v>
      </c>
      <c r="M171" s="123">
        <f ca="1">M182</f>
        <v>-6.8530129203279948</v>
      </c>
      <c r="N171" s="123">
        <f ca="1">N182</f>
        <v>-13.43020696033344</v>
      </c>
      <c r="O171" s="123">
        <f ca="1">O182</f>
        <v>-25.650462309485356</v>
      </c>
    </row>
    <row r="172" spans="2:15">
      <c r="B172" s="712"/>
      <c r="C172" s="302" t="s">
        <v>334</v>
      </c>
      <c r="D172" s="318"/>
      <c r="E172" s="319"/>
      <c r="F172" s="364">
        <f>PPE!H35</f>
        <v>0</v>
      </c>
      <c r="G172" s="364">
        <f>PPE!I35</f>
        <v>3.468</v>
      </c>
      <c r="H172" s="364">
        <f>PPE!J35</f>
        <v>4.3159999999999998</v>
      </c>
      <c r="I172" s="364">
        <f>PPE!K35</f>
        <v>4.0330000000000004</v>
      </c>
      <c r="J172" s="364">
        <f>PPE!L35</f>
        <v>2.9089999999999998</v>
      </c>
      <c r="K172" s="320">
        <f ca="1">SUM(K169:K171)</f>
        <v>5.9940110465782306</v>
      </c>
      <c r="L172" s="320">
        <f ca="1">SUM(L169:L171)</f>
        <v>11.702156220786435</v>
      </c>
      <c r="M172" s="320">
        <f ca="1">SUM(M169:M171)</f>
        <v>22.613384174059671</v>
      </c>
      <c r="N172" s="320">
        <f ca="1">SUM(N169:N171)</f>
        <v>42.069147413753456</v>
      </c>
      <c r="O172" s="320">
        <f ca="1">SUM(O169:O171)</f>
        <v>77.519961850027698</v>
      </c>
    </row>
    <row r="173" spans="2:15" s="65" customFormat="1">
      <c r="B173" s="733"/>
      <c r="C173" s="93" t="s">
        <v>161</v>
      </c>
      <c r="D173" s="93"/>
      <c r="E173" s="93"/>
      <c r="F173" s="349"/>
      <c r="G173" s="93"/>
      <c r="H173" s="93">
        <f t="shared" ref="H173:O173" si="52">H172/G172-1</f>
        <v>0.24452133794694353</v>
      </c>
      <c r="I173" s="93">
        <f t="shared" si="52"/>
        <v>-6.5569972196478088E-2</v>
      </c>
      <c r="J173" s="93">
        <f t="shared" si="52"/>
        <v>-0.27870071906769167</v>
      </c>
      <c r="K173" s="93">
        <f t="shared" ca="1" si="52"/>
        <v>1.0605056880640187</v>
      </c>
      <c r="L173" s="93">
        <f t="shared" ca="1" si="52"/>
        <v>0.95230808382757037</v>
      </c>
      <c r="M173" s="93">
        <f t="shared" ca="1" si="52"/>
        <v>0.93241174937416416</v>
      </c>
      <c r="N173" s="93">
        <f t="shared" ca="1" si="52"/>
        <v>0.86036495422086956</v>
      </c>
      <c r="O173" s="93">
        <f t="shared" ca="1" si="52"/>
        <v>0.8426796504243983</v>
      </c>
    </row>
    <row r="174" spans="2:15">
      <c r="B174" s="715"/>
      <c r="C174" s="715"/>
      <c r="D174" s="716"/>
      <c r="E174" s="80"/>
      <c r="F174" s="715"/>
      <c r="G174" s="715"/>
      <c r="H174" s="715"/>
      <c r="I174" s="715"/>
      <c r="J174" s="715"/>
      <c r="K174" s="715"/>
      <c r="L174" s="715"/>
      <c r="M174" s="715"/>
      <c r="N174" s="715"/>
      <c r="O174" s="715"/>
    </row>
    <row r="175" spans="2:15">
      <c r="B175" s="712"/>
      <c r="C175" s="107" t="s">
        <v>325</v>
      </c>
      <c r="D175" s="108" t="s">
        <v>326</v>
      </c>
      <c r="E175" s="109" t="s">
        <v>335</v>
      </c>
      <c r="F175" s="737"/>
      <c r="G175" s="737"/>
      <c r="H175" s="737"/>
      <c r="I175" s="737"/>
      <c r="J175" s="737"/>
      <c r="K175" s="737"/>
      <c r="L175" s="738"/>
      <c r="M175" s="739"/>
      <c r="N175" s="737"/>
      <c r="O175" s="737"/>
    </row>
    <row r="176" spans="2:15">
      <c r="B176" s="712"/>
      <c r="C176" s="112">
        <f>$K$6</f>
        <v>25</v>
      </c>
      <c r="D176" s="124">
        <f>K169</f>
        <v>2.9089999999999998</v>
      </c>
      <c r="E176" s="113">
        <f>C176+$D$167-1</f>
        <v>29</v>
      </c>
      <c r="F176" s="725"/>
      <c r="G176" s="725"/>
      <c r="H176" s="725"/>
      <c r="I176" s="725"/>
      <c r="J176" s="725"/>
      <c r="K176" s="111">
        <f t="shared" ref="K176:O181" si="53">IF(AND(K$6&lt;=$E176,K$6&gt;=$C176),IFERROR(-$D176/$D$167,0),0)</f>
        <v>-0.58179999999999998</v>
      </c>
      <c r="L176" s="111">
        <f t="shared" si="53"/>
        <v>-0.58179999999999998</v>
      </c>
      <c r="M176" s="111">
        <f t="shared" si="53"/>
        <v>-0.58179999999999998</v>
      </c>
      <c r="N176" s="111">
        <f t="shared" si="53"/>
        <v>-0.58179999999999998</v>
      </c>
      <c r="O176" s="111">
        <f t="shared" si="53"/>
        <v>-0.58179999999999998</v>
      </c>
    </row>
    <row r="177" spans="2:15">
      <c r="B177" s="712"/>
      <c r="C177" s="112" cm="1">
        <f t="array" ref="C177:C181">TRANSPOSE($K$6:$O$6)</f>
        <v>25</v>
      </c>
      <c r="D177" s="124" cm="1">
        <f t="array" aca="1" ref="D177:D181" ca="1">TRANSPOSE(K170:O170)</f>
        <v>4.5835138082227882</v>
      </c>
      <c r="E177" s="113">
        <f t="shared" ref="E177:E181" si="54">C177+$D$167-1</f>
        <v>29</v>
      </c>
      <c r="F177" s="725"/>
      <c r="G177" s="725"/>
      <c r="H177" s="725"/>
      <c r="I177" s="725"/>
      <c r="J177" s="725"/>
      <c r="K177" s="111">
        <f t="shared" ca="1" si="53"/>
        <v>-0.91670276164455766</v>
      </c>
      <c r="L177" s="111">
        <f t="shared" ca="1" si="53"/>
        <v>-0.91670276164455766</v>
      </c>
      <c r="M177" s="111">
        <f t="shared" ca="1" si="53"/>
        <v>-0.91670276164455766</v>
      </c>
      <c r="N177" s="111">
        <f t="shared" ca="1" si="53"/>
        <v>-0.91670276164455766</v>
      </c>
      <c r="O177" s="111">
        <f t="shared" ca="1" si="53"/>
        <v>-0.91670276164455766</v>
      </c>
    </row>
    <row r="178" spans="2:15">
      <c r="B178" s="712"/>
      <c r="C178" s="112">
        <v>26</v>
      </c>
      <c r="D178" s="124">
        <f ca="1"/>
        <v>9.008309919815952</v>
      </c>
      <c r="E178" s="113">
        <f t="shared" si="54"/>
        <v>30</v>
      </c>
      <c r="F178" s="725"/>
      <c r="G178" s="725"/>
      <c r="H178" s="725"/>
      <c r="I178" s="725"/>
      <c r="J178" s="725"/>
      <c r="K178" s="111">
        <f t="shared" si="53"/>
        <v>0</v>
      </c>
      <c r="L178" s="111">
        <f t="shared" ca="1" si="53"/>
        <v>-1.8016619839631904</v>
      </c>
      <c r="M178" s="111">
        <f t="shared" ca="1" si="53"/>
        <v>-1.8016619839631904</v>
      </c>
      <c r="N178" s="111">
        <f t="shared" ca="1" si="53"/>
        <v>-1.8016619839631904</v>
      </c>
      <c r="O178" s="111">
        <f t="shared" ca="1" si="53"/>
        <v>-1.8016619839631904</v>
      </c>
    </row>
    <row r="179" spans="2:15">
      <c r="B179" s="712"/>
      <c r="C179" s="112">
        <v>27</v>
      </c>
      <c r="D179" s="124">
        <f ca="1"/>
        <v>17.764240873601231</v>
      </c>
      <c r="E179" s="113">
        <f t="shared" si="54"/>
        <v>31</v>
      </c>
      <c r="F179" s="725"/>
      <c r="G179" s="725"/>
      <c r="H179" s="725"/>
      <c r="I179" s="725"/>
      <c r="J179" s="725"/>
      <c r="K179" s="111">
        <f t="shared" si="53"/>
        <v>0</v>
      </c>
      <c r="L179" s="111">
        <f t="shared" si="53"/>
        <v>0</v>
      </c>
      <c r="M179" s="111">
        <f t="shared" ca="1" si="53"/>
        <v>-3.5528481747202463</v>
      </c>
      <c r="N179" s="111">
        <f t="shared" ca="1" si="53"/>
        <v>-3.5528481747202463</v>
      </c>
      <c r="O179" s="111">
        <f t="shared" ca="1" si="53"/>
        <v>-3.5528481747202463</v>
      </c>
    </row>
    <row r="180" spans="2:15">
      <c r="B180" s="712"/>
      <c r="C180" s="112">
        <v>28</v>
      </c>
      <c r="D180" s="124">
        <f ca="1"/>
        <v>32.885970200027224</v>
      </c>
      <c r="E180" s="113">
        <f t="shared" si="54"/>
        <v>32</v>
      </c>
      <c r="F180" s="725"/>
      <c r="G180" s="725"/>
      <c r="H180" s="725"/>
      <c r="I180" s="725"/>
      <c r="J180" s="725"/>
      <c r="K180" s="111">
        <f t="shared" si="53"/>
        <v>0</v>
      </c>
      <c r="L180" s="111">
        <f t="shared" si="53"/>
        <v>0</v>
      </c>
      <c r="M180" s="111">
        <f t="shared" si="53"/>
        <v>0</v>
      </c>
      <c r="N180" s="111">
        <f t="shared" ca="1" si="53"/>
        <v>-6.5771940400054447</v>
      </c>
      <c r="O180" s="111">
        <f t="shared" ca="1" si="53"/>
        <v>-6.5771940400054447</v>
      </c>
    </row>
    <row r="181" spans="2:15">
      <c r="B181" s="715"/>
      <c r="C181" s="112">
        <v>29</v>
      </c>
      <c r="D181" s="124">
        <f ca="1"/>
        <v>61.101276745759591</v>
      </c>
      <c r="E181" s="113">
        <f t="shared" si="54"/>
        <v>33</v>
      </c>
      <c r="F181" s="725"/>
      <c r="G181" s="725"/>
      <c r="H181" s="725"/>
      <c r="I181" s="725"/>
      <c r="J181" s="725"/>
      <c r="K181" s="111">
        <f t="shared" si="53"/>
        <v>0</v>
      </c>
      <c r="L181" s="111">
        <f t="shared" si="53"/>
        <v>0</v>
      </c>
      <c r="M181" s="111">
        <f t="shared" si="53"/>
        <v>0</v>
      </c>
      <c r="N181" s="111">
        <f t="shared" si="53"/>
        <v>0</v>
      </c>
      <c r="O181" s="111">
        <f t="shared" ca="1" si="53"/>
        <v>-12.220255349151918</v>
      </c>
    </row>
    <row r="182" spans="2:15">
      <c r="B182" s="712"/>
      <c r="C182" s="302" t="s">
        <v>336</v>
      </c>
      <c r="D182" s="723"/>
      <c r="E182" s="308"/>
      <c r="F182" s="724"/>
      <c r="G182" s="724"/>
      <c r="H182" s="724"/>
      <c r="I182" s="724"/>
      <c r="J182" s="724"/>
      <c r="K182" s="321">
        <f ca="1">SUM(K176:K181)</f>
        <v>-1.4985027616445576</v>
      </c>
      <c r="L182" s="321">
        <f ca="1">SUM(L176:L181)</f>
        <v>-3.3001647456077481</v>
      </c>
      <c r="M182" s="321">
        <f ca="1">SUM(M176:M181)</f>
        <v>-6.8530129203279948</v>
      </c>
      <c r="N182" s="321">
        <f ca="1">SUM(N176:N181)</f>
        <v>-13.43020696033344</v>
      </c>
      <c r="O182" s="321">
        <f ca="1">SUM(O176:O181)</f>
        <v>-25.650462309485356</v>
      </c>
    </row>
    <row r="184" spans="2:15">
      <c r="C184" s="378" t="s">
        <v>337</v>
      </c>
      <c r="D184" s="378"/>
      <c r="E184" s="378"/>
      <c r="F184" s="378"/>
      <c r="G184" s="378"/>
      <c r="H184" s="378"/>
      <c r="I184" s="378"/>
      <c r="J184" s="378"/>
      <c r="K184" s="378"/>
      <c r="L184" s="378"/>
      <c r="M184" s="378"/>
      <c r="N184" s="378"/>
      <c r="O184" s="378"/>
    </row>
    <row r="186" spans="2:15">
      <c r="C186" s="125" t="s">
        <v>338</v>
      </c>
      <c r="D186" s="61"/>
      <c r="E186" s="61"/>
      <c r="F186" s="182">
        <f>'3FS'!E48</f>
        <v>121.85299999999999</v>
      </c>
      <c r="G186" s="182">
        <f>'3FS'!F48</f>
        <v>104.831</v>
      </c>
      <c r="H186" s="182">
        <f>'3FS'!G48</f>
        <v>17.076000000000001</v>
      </c>
      <c r="I186" s="182">
        <f>'3FS'!H48</f>
        <v>69.472999999999999</v>
      </c>
      <c r="J186" s="182">
        <f>'3FS'!I48</f>
        <v>74.292000000000002</v>
      </c>
      <c r="K186" s="182">
        <f ca="1">'3FS'!J48</f>
        <v>32.036765498633912</v>
      </c>
      <c r="L186" s="182">
        <f ca="1">'3FS'!K48</f>
        <v>813.55452263172697</v>
      </c>
      <c r="M186" s="182">
        <f ca="1">'3FS'!L48</f>
        <v>3188.6990187586853</v>
      </c>
      <c r="N186" s="182">
        <f ca="1">'3FS'!M48</f>
        <v>6100.6288754768575</v>
      </c>
      <c r="O186" s="294">
        <f ca="1">'3FS'!N48</f>
        <v>9155.6913877943825</v>
      </c>
    </row>
    <row r="188" spans="2:15">
      <c r="C188" s="379" t="s">
        <v>181</v>
      </c>
      <c r="D188" s="379"/>
      <c r="E188" s="379"/>
      <c r="F188" s="379"/>
      <c r="G188" s="379"/>
      <c r="H188" s="379"/>
      <c r="I188" s="379"/>
      <c r="J188" s="379"/>
      <c r="K188" s="379"/>
      <c r="L188" s="379"/>
      <c r="M188" s="379"/>
      <c r="N188" s="379"/>
      <c r="O188" s="379"/>
    </row>
    <row r="190" spans="2:15">
      <c r="C190" s="68" t="s">
        <v>183</v>
      </c>
      <c r="D190" s="68"/>
      <c r="E190" s="68"/>
      <c r="F190" s="290">
        <f>'3FS'!E49</f>
        <v>0</v>
      </c>
      <c r="G190" s="290">
        <f>'3FS'!F49</f>
        <v>0.86099999999999999</v>
      </c>
      <c r="H190" s="290">
        <f>'3FS'!G49</f>
        <v>2.7250000000000001</v>
      </c>
      <c r="I190" s="290">
        <f>'3FS'!H49</f>
        <v>3.4390000000000001</v>
      </c>
      <c r="J190" s="290">
        <f>'3FS'!I49</f>
        <v>14.07</v>
      </c>
      <c r="K190" s="162">
        <f>K12*K191</f>
        <v>0</v>
      </c>
      <c r="L190" s="162">
        <f>L12*L191</f>
        <v>0</v>
      </c>
      <c r="M190" s="162">
        <f>M12*M191</f>
        <v>0</v>
      </c>
      <c r="N190" s="162">
        <f>N12*N191</f>
        <v>0</v>
      </c>
      <c r="O190" s="162">
        <f>O12*O191</f>
        <v>0</v>
      </c>
    </row>
    <row r="191" spans="2:15" s="65" customFormat="1">
      <c r="C191" s="65" t="s">
        <v>274</v>
      </c>
      <c r="F191" s="65">
        <f>F190/F$12</f>
        <v>0</v>
      </c>
      <c r="G191" s="65">
        <f>G190/G$12</f>
        <v>0.18725532840365378</v>
      </c>
      <c r="H191" s="65">
        <f>H190/H$12</f>
        <v>0.15203079669716582</v>
      </c>
      <c r="I191" s="65">
        <f>I190/I$12</f>
        <v>0.20997679814385151</v>
      </c>
      <c r="J191" s="65">
        <f>J190/J$12</f>
        <v>0.90157631680123029</v>
      </c>
      <c r="K191" s="710">
        <f>MIN($F191:$J191)</f>
        <v>0</v>
      </c>
      <c r="L191" s="710">
        <f>K191</f>
        <v>0</v>
      </c>
      <c r="M191" s="710">
        <f t="shared" ref="M191:O191" si="55">L191</f>
        <v>0</v>
      </c>
      <c r="N191" s="710">
        <f t="shared" si="55"/>
        <v>0</v>
      </c>
      <c r="O191" s="710">
        <f t="shared" si="55"/>
        <v>0</v>
      </c>
    </row>
    <row r="193" spans="3:15">
      <c r="C193" s="68" t="s">
        <v>189</v>
      </c>
      <c r="D193" s="68"/>
      <c r="E193" s="68"/>
      <c r="F193" s="290">
        <f>'3FS'!E55</f>
        <v>2.5939999999999999</v>
      </c>
      <c r="G193" s="290">
        <f>'3FS'!F55</f>
        <v>16.901</v>
      </c>
      <c r="H193" s="290">
        <f>'3FS'!G55</f>
        <v>6.0090000000000003</v>
      </c>
      <c r="I193" s="290">
        <f>'3FS'!H55</f>
        <v>10.738</v>
      </c>
      <c r="J193" s="290">
        <f>'3FS'!I55</f>
        <v>17.638000000000002</v>
      </c>
      <c r="K193" s="162">
        <f>K194*K12</f>
        <v>58.649522949118506</v>
      </c>
      <c r="L193" s="162">
        <f>L194*L12</f>
        <v>258.05379550951494</v>
      </c>
      <c r="M193" s="162">
        <f>M194*M12</f>
        <v>550.21628755141433</v>
      </c>
      <c r="N193" s="162">
        <f>N194*N12</f>
        <v>757.65599194102253</v>
      </c>
      <c r="O193" s="162">
        <f>O194*O12</f>
        <v>852.77662638643119</v>
      </c>
    </row>
    <row r="194" spans="3:15" s="65" customFormat="1">
      <c r="C194" s="65" t="s">
        <v>274</v>
      </c>
      <c r="F194" s="65">
        <f>F193/F$12</f>
        <v>11.844748858447488</v>
      </c>
      <c r="G194" s="65">
        <f>G193/G$12</f>
        <v>3.6757285776424533</v>
      </c>
      <c r="H194" s="65">
        <f>H193/H$12</f>
        <v>0.33524882838652087</v>
      </c>
      <c r="I194" s="65">
        <f>I193/I$12</f>
        <v>0.65563560874343629</v>
      </c>
      <c r="J194" s="65">
        <f>J193/J$12</f>
        <v>1.1302063308983725</v>
      </c>
      <c r="K194" s="710">
        <f>MIN($F194:$J194)</f>
        <v>0.33524882838652087</v>
      </c>
      <c r="L194" s="710">
        <f>K194</f>
        <v>0.33524882838652087</v>
      </c>
      <c r="M194" s="710">
        <f t="shared" ref="M194:O194" si="56">L194</f>
        <v>0.33524882838652087</v>
      </c>
      <c r="N194" s="710">
        <f t="shared" si="56"/>
        <v>0.33524882838652087</v>
      </c>
      <c r="O194" s="710">
        <f t="shared" si="56"/>
        <v>0.33524882838652087</v>
      </c>
    </row>
    <row r="196" spans="3:15">
      <c r="C196" s="379" t="s">
        <v>339</v>
      </c>
      <c r="D196" s="379"/>
      <c r="E196" s="379"/>
      <c r="F196" s="379"/>
      <c r="G196" s="379"/>
      <c r="H196" s="379"/>
      <c r="I196" s="379"/>
      <c r="J196" s="379"/>
      <c r="K196" s="379"/>
      <c r="L196" s="379"/>
      <c r="M196" s="379"/>
      <c r="N196" s="379"/>
      <c r="O196" s="379"/>
    </row>
    <row r="198" spans="3:15">
      <c r="C198" s="127" t="s">
        <v>193</v>
      </c>
      <c r="D198" s="127"/>
      <c r="E198" s="127"/>
      <c r="F198" s="157">
        <f>'3FS'!E60</f>
        <v>3.7360000000000002</v>
      </c>
      <c r="G198" s="157">
        <f>'3FS'!F60</f>
        <v>0</v>
      </c>
      <c r="H198" s="157">
        <f>'3FS'!G60</f>
        <v>0</v>
      </c>
      <c r="I198" s="157">
        <f>'3FS'!H60</f>
        <v>0</v>
      </c>
      <c r="J198" s="157">
        <f>'3FS'!I60</f>
        <v>0</v>
      </c>
      <c r="K198" s="162">
        <f>K199*K12</f>
        <v>0</v>
      </c>
      <c r="L198" s="162">
        <f>L199*L12</f>
        <v>0</v>
      </c>
      <c r="M198" s="162">
        <f>M199*M12</f>
        <v>0</v>
      </c>
      <c r="N198" s="162">
        <f>N199*N12</f>
        <v>0</v>
      </c>
      <c r="O198" s="162">
        <f>O199*O12</f>
        <v>0</v>
      </c>
    </row>
    <row r="199" spans="3:15" s="65" customFormat="1">
      <c r="C199" s="65" t="s">
        <v>274</v>
      </c>
      <c r="F199" s="65">
        <f t="shared" ref="F199:J199" si="57">F198/F$12</f>
        <v>17.059360730593607</v>
      </c>
      <c r="G199" s="65">
        <f t="shared" si="57"/>
        <v>0</v>
      </c>
      <c r="H199" s="65">
        <f t="shared" si="57"/>
        <v>0</v>
      </c>
      <c r="I199" s="65">
        <f t="shared" si="57"/>
        <v>0</v>
      </c>
      <c r="J199" s="65">
        <f t="shared" si="57"/>
        <v>0</v>
      </c>
      <c r="K199" s="710">
        <f>MIN($F199:$J199)</f>
        <v>0</v>
      </c>
      <c r="L199" s="710">
        <f>K199</f>
        <v>0</v>
      </c>
      <c r="M199" s="710">
        <f t="shared" ref="M199:O199" si="58">L199</f>
        <v>0</v>
      </c>
      <c r="N199" s="710">
        <f t="shared" si="58"/>
        <v>0</v>
      </c>
      <c r="O199" s="710">
        <f t="shared" si="58"/>
        <v>0</v>
      </c>
    </row>
    <row r="201" spans="3:15">
      <c r="C201" s="127" t="s">
        <v>195</v>
      </c>
      <c r="D201" s="127"/>
      <c r="E201" s="127"/>
      <c r="F201" s="157">
        <f>'3FS'!E62</f>
        <v>0.32</v>
      </c>
      <c r="G201" s="157">
        <f>'3FS'!F62</f>
        <v>0.28000000000000003</v>
      </c>
      <c r="H201" s="157">
        <f>'3FS'!G62</f>
        <v>0.24</v>
      </c>
      <c r="I201" s="157">
        <f>'3FS'!H62</f>
        <v>0.29499999999999998</v>
      </c>
      <c r="J201" s="157">
        <f>'3FS'!I62</f>
        <v>0.24</v>
      </c>
      <c r="K201" s="162">
        <f>K12*K202</f>
        <v>2.3424672171390317</v>
      </c>
      <c r="L201" s="162">
        <f>L12*L202</f>
        <v>10.306691782706537</v>
      </c>
      <c r="M201" s="162">
        <f>M12*M202</f>
        <v>21.975687970101419</v>
      </c>
      <c r="N201" s="162">
        <f>N12*N202</f>
        <v>30.26084840503335</v>
      </c>
      <c r="O201" s="162">
        <f>O12*O202</f>
        <v>34.059975092818014</v>
      </c>
    </row>
    <row r="202" spans="3:15" s="65" customFormat="1">
      <c r="C202" s="65" t="s">
        <v>274</v>
      </c>
      <c r="F202" s="65">
        <f>F201/F$12</f>
        <v>1.4611872146118721</v>
      </c>
      <c r="G202" s="65">
        <f>G201/G$12</f>
        <v>6.0896041757285781E-2</v>
      </c>
      <c r="H202" s="65">
        <f>H201/H$12</f>
        <v>1.3389868332961392E-2</v>
      </c>
      <c r="I202" s="65">
        <f>I201/I$12</f>
        <v>1.8011967273171326E-2</v>
      </c>
      <c r="J202" s="65">
        <f>J201/J$12</f>
        <v>1.5378700499807765E-2</v>
      </c>
      <c r="K202" s="710">
        <f>MIN($F202:$J202)</f>
        <v>1.3389868332961392E-2</v>
      </c>
      <c r="L202" s="710">
        <f>K202</f>
        <v>1.3389868332961392E-2</v>
      </c>
      <c r="M202" s="710">
        <f t="shared" ref="M202:O202" si="59">L202</f>
        <v>1.3389868332961392E-2</v>
      </c>
      <c r="N202" s="710">
        <f t="shared" si="59"/>
        <v>1.3389868332961392E-2</v>
      </c>
      <c r="O202" s="710">
        <f t="shared" si="59"/>
        <v>1.3389868332961392E-2</v>
      </c>
    </row>
    <row r="204" spans="3:15">
      <c r="C204" s="127" t="s">
        <v>196</v>
      </c>
      <c r="D204" s="127"/>
      <c r="E204" s="127"/>
      <c r="F204" s="295">
        <f>'3FS'!E63</f>
        <v>0.1</v>
      </c>
      <c r="G204" s="295">
        <f>'3FS'!F63</f>
        <v>3.8940000000000001</v>
      </c>
      <c r="H204" s="157">
        <f>'3FS'!G63</f>
        <v>1.6120000000000001</v>
      </c>
      <c r="I204" s="157">
        <f>'3FS'!H63</f>
        <v>1.9359999999999999</v>
      </c>
      <c r="J204" s="157">
        <f>'3FS'!I63</f>
        <v>0.96299999999999997</v>
      </c>
      <c r="K204" s="162">
        <f>K12*K205</f>
        <v>0</v>
      </c>
      <c r="L204" s="162">
        <f>L12*L205</f>
        <v>0</v>
      </c>
      <c r="M204" s="162">
        <f>M12*M205</f>
        <v>0</v>
      </c>
      <c r="N204" s="162">
        <f>N12*N205</f>
        <v>0</v>
      </c>
      <c r="O204" s="162">
        <f>O12*O205</f>
        <v>0</v>
      </c>
    </row>
    <row r="205" spans="3:15" s="65" customFormat="1">
      <c r="C205" s="65" t="s">
        <v>274</v>
      </c>
      <c r="F205" s="65">
        <v>0</v>
      </c>
      <c r="G205" s="65">
        <v>0</v>
      </c>
      <c r="H205" s="65">
        <f>H204/H$12</f>
        <v>8.9935282303057362E-2</v>
      </c>
      <c r="I205" s="65">
        <f>I204/I$12</f>
        <v>0.1182073513249481</v>
      </c>
      <c r="J205" s="65">
        <f>J204/J$12</f>
        <v>6.1707035755478659E-2</v>
      </c>
      <c r="K205" s="710">
        <f>MIN($F205:$J205)</f>
        <v>0</v>
      </c>
      <c r="L205" s="710">
        <f>K205</f>
        <v>0</v>
      </c>
      <c r="M205" s="710">
        <f t="shared" ref="M205:O205" si="60">L205</f>
        <v>0</v>
      </c>
      <c r="N205" s="710">
        <f t="shared" si="60"/>
        <v>0</v>
      </c>
      <c r="O205" s="710">
        <f t="shared" si="60"/>
        <v>0</v>
      </c>
    </row>
    <row r="207" spans="3:15">
      <c r="C207" s="127" t="s">
        <v>197</v>
      </c>
      <c r="D207" s="127"/>
      <c r="E207" s="127"/>
      <c r="F207" s="157">
        <f>'3FS'!E64</f>
        <v>1.0880000000000001</v>
      </c>
      <c r="G207" s="157">
        <f>'3FS'!F64</f>
        <v>1.74</v>
      </c>
      <c r="H207" s="157">
        <f>'3FS'!G64</f>
        <v>13.973000000000001</v>
      </c>
      <c r="I207" s="157">
        <f>'3FS'!H64</f>
        <v>15.711</v>
      </c>
      <c r="J207" s="157">
        <f>'3FS'!I64</f>
        <v>26.303000000000001</v>
      </c>
      <c r="K207" s="162">
        <f>K$12*K208</f>
        <v>66.202973553719019</v>
      </c>
      <c r="L207" s="162">
        <f t="shared" ref="L207:O207" si="61">L$12*L208</f>
        <v>291.28844942821485</v>
      </c>
      <c r="M207" s="162">
        <f t="shared" si="61"/>
        <v>621.07844193708343</v>
      </c>
      <c r="N207" s="162">
        <f t="shared" si="61"/>
        <v>855.2342299664374</v>
      </c>
      <c r="O207" s="162">
        <f t="shared" si="61"/>
        <v>962.60541612366444</v>
      </c>
    </row>
    <row r="208" spans="3:15" s="65" customFormat="1">
      <c r="C208" s="65" t="s">
        <v>274</v>
      </c>
      <c r="F208" s="65">
        <f>F207/F$12</f>
        <v>4.9680365296803659</v>
      </c>
      <c r="G208" s="65">
        <f>G207/G$12</f>
        <v>0.37842540234884736</v>
      </c>
      <c r="H208" s="65">
        <f>H207/H$12</f>
        <v>0.77956929256862317</v>
      </c>
      <c r="I208" s="65">
        <f>I207/I$12</f>
        <v>0.95927463670777879</v>
      </c>
      <c r="J208" s="65">
        <f>J207/J$12</f>
        <v>1.6854414968601821</v>
      </c>
      <c r="K208" s="710">
        <f>MIN($F208:$J208)</f>
        <v>0.37842540234884736</v>
      </c>
      <c r="L208" s="710">
        <f>K208</f>
        <v>0.37842540234884736</v>
      </c>
      <c r="M208" s="710">
        <f t="shared" ref="M208:O208" si="62">L208</f>
        <v>0.37842540234884736</v>
      </c>
      <c r="N208" s="710">
        <f t="shared" si="62"/>
        <v>0.37842540234884736</v>
      </c>
      <c r="O208" s="710">
        <f t="shared" si="62"/>
        <v>0.37842540234884736</v>
      </c>
    </row>
    <row r="210" spans="3:15">
      <c r="C210" s="379" t="s">
        <v>340</v>
      </c>
      <c r="D210" s="379"/>
      <c r="E210" s="379"/>
      <c r="F210" s="379"/>
      <c r="G210" s="379"/>
      <c r="H210" s="379"/>
      <c r="I210" s="379"/>
      <c r="J210" s="379"/>
      <c r="K210" s="379"/>
      <c r="L210" s="379"/>
      <c r="M210" s="379"/>
      <c r="N210" s="379"/>
      <c r="O210" s="379"/>
    </row>
    <row r="212" spans="3:15">
      <c r="C212" s="128" t="s">
        <v>212</v>
      </c>
      <c r="D212" s="68"/>
      <c r="E212" s="68"/>
      <c r="F212" s="290">
        <f>'3FS'!E82</f>
        <v>0</v>
      </c>
      <c r="G212" s="290">
        <f>'3FS'!F82</f>
        <v>0</v>
      </c>
      <c r="H212" s="290">
        <f>'3FS'!G82</f>
        <v>0.95599999999999996</v>
      </c>
      <c r="I212" s="290">
        <f>'3FS'!H82</f>
        <v>3.54</v>
      </c>
      <c r="J212" s="290">
        <f>'3FS'!I82</f>
        <v>4.3099999999999996</v>
      </c>
      <c r="K212" s="162">
        <f>K213*K$12</f>
        <v>0</v>
      </c>
      <c r="L212" s="162">
        <f t="shared" ref="L212:O212" si="63">L213*L$12</f>
        <v>0</v>
      </c>
      <c r="M212" s="162">
        <f t="shared" si="63"/>
        <v>0</v>
      </c>
      <c r="N212" s="162">
        <f t="shared" si="63"/>
        <v>0</v>
      </c>
      <c r="O212" s="162">
        <f t="shared" si="63"/>
        <v>0</v>
      </c>
    </row>
    <row r="213" spans="3:15" s="65" customFormat="1">
      <c r="C213" s="360" t="s">
        <v>274</v>
      </c>
      <c r="F213" s="65">
        <f>F212/F$12</f>
        <v>0</v>
      </c>
      <c r="G213" s="65">
        <f>G212/G$12</f>
        <v>0</v>
      </c>
      <c r="H213" s="65">
        <f>H212/H$12</f>
        <v>5.3336308859629547E-2</v>
      </c>
      <c r="I213" s="65">
        <f>I212/I$12</f>
        <v>0.21614360727805593</v>
      </c>
      <c r="J213" s="65">
        <f>J212/J$12</f>
        <v>0.27617582980904776</v>
      </c>
      <c r="K213" s="710">
        <f>MIN($F213:$J213)</f>
        <v>0</v>
      </c>
      <c r="L213" s="710">
        <f>K213</f>
        <v>0</v>
      </c>
      <c r="M213" s="710">
        <f t="shared" ref="M213:O213" si="64">L213</f>
        <v>0</v>
      </c>
      <c r="N213" s="710">
        <f t="shared" si="64"/>
        <v>0</v>
      </c>
      <c r="O213" s="710">
        <f t="shared" si="64"/>
        <v>0</v>
      </c>
    </row>
    <row r="215" spans="3:15">
      <c r="C215" s="68" t="s">
        <v>213</v>
      </c>
      <c r="D215" s="68"/>
      <c r="E215" s="68"/>
      <c r="F215" s="290">
        <f>'3FS'!E83</f>
        <v>3.4670000000000001</v>
      </c>
      <c r="G215" s="290">
        <f>'3FS'!F83</f>
        <v>0.92600000000000005</v>
      </c>
      <c r="H215" s="290">
        <f>'3FS'!G83</f>
        <v>3.44</v>
      </c>
      <c r="I215" s="290">
        <f>'3FS'!H83</f>
        <v>28.917000000000002</v>
      </c>
      <c r="J215" s="290">
        <f>'3FS'!I83</f>
        <v>456.24400000000003</v>
      </c>
      <c r="K215" s="162">
        <f>K$12*K216</f>
        <v>33.575363445659455</v>
      </c>
      <c r="L215" s="162">
        <f>L$12*L216</f>
        <v>147.72924888546038</v>
      </c>
      <c r="M215" s="162">
        <f>M$12*M216</f>
        <v>314.98486090478701</v>
      </c>
      <c r="N215" s="162">
        <f>N$12*N216</f>
        <v>433.73882713881136</v>
      </c>
      <c r="O215" s="162">
        <f>O$12*O216</f>
        <v>488.19297633039162</v>
      </c>
    </row>
    <row r="216" spans="3:15" s="65" customFormat="1">
      <c r="C216" s="65" t="s">
        <v>274</v>
      </c>
      <c r="F216" s="65">
        <f>F215/F$12</f>
        <v>15.831050228310502</v>
      </c>
      <c r="G216" s="65">
        <f>G215/G$12</f>
        <v>0.20139190952588085</v>
      </c>
      <c r="H216" s="65">
        <f>H215/H$12</f>
        <v>0.19192144610577996</v>
      </c>
      <c r="I216" s="65">
        <f>I215/I$12</f>
        <v>1.7656001953840519</v>
      </c>
      <c r="J216" s="65">
        <f>J215/J$12</f>
        <v>29.235165961809564</v>
      </c>
      <c r="K216" s="710">
        <f>MIN($F216:$J216)</f>
        <v>0.19192144610577996</v>
      </c>
      <c r="L216" s="710">
        <f>K216</f>
        <v>0.19192144610577996</v>
      </c>
      <c r="M216" s="710">
        <f t="shared" ref="M216:O216" si="65">L216</f>
        <v>0.19192144610577996</v>
      </c>
      <c r="N216" s="710">
        <f t="shared" si="65"/>
        <v>0.19192144610577996</v>
      </c>
      <c r="O216" s="710">
        <f t="shared" si="65"/>
        <v>0.19192144610577996</v>
      </c>
    </row>
    <row r="218" spans="3:15">
      <c r="C218" s="379" t="s">
        <v>75</v>
      </c>
      <c r="D218" s="379"/>
      <c r="E218" s="379"/>
      <c r="F218" s="379"/>
      <c r="G218" s="379"/>
      <c r="H218" s="379"/>
      <c r="I218" s="379"/>
      <c r="J218" s="379"/>
      <c r="K218" s="379"/>
      <c r="L218" s="379"/>
      <c r="M218" s="379"/>
      <c r="N218" s="379"/>
      <c r="O218" s="379"/>
    </row>
    <row r="220" spans="3:15">
      <c r="C220" s="128" t="s">
        <v>341</v>
      </c>
      <c r="D220" s="68"/>
      <c r="E220" s="68"/>
      <c r="F220" s="290">
        <f>'3FS'!E92</f>
        <v>17.600000000000001</v>
      </c>
      <c r="G220" s="290">
        <f>'3FS'!F92</f>
        <v>0</v>
      </c>
      <c r="H220" s="290">
        <f>'3FS'!G92</f>
        <v>6.0000000000000001E-3</v>
      </c>
      <c r="I220" s="290">
        <f>'3FS'!H92</f>
        <v>7.0000000000000001E-3</v>
      </c>
      <c r="J220" s="290">
        <f>'3FS'!I92</f>
        <v>-43.496000000000002</v>
      </c>
      <c r="K220" s="162">
        <f>K221*K$12</f>
        <v>0</v>
      </c>
      <c r="L220" s="162">
        <f>L221*L$12</f>
        <v>0</v>
      </c>
      <c r="M220" s="162">
        <f>M221*M$12</f>
        <v>0</v>
      </c>
      <c r="N220" s="162">
        <f>N221*N$12</f>
        <v>0</v>
      </c>
      <c r="O220" s="162">
        <f>O221*O$12</f>
        <v>0</v>
      </c>
    </row>
    <row r="221" spans="3:15" s="65" customFormat="1">
      <c r="C221" s="360" t="s">
        <v>274</v>
      </c>
      <c r="F221" s="65">
        <f>F220/F$12</f>
        <v>80.365296803652981</v>
      </c>
      <c r="G221" s="65">
        <f>G220/G$12</f>
        <v>0</v>
      </c>
      <c r="H221" s="65">
        <f>H220/H$12</f>
        <v>3.3474670832403481E-4</v>
      </c>
      <c r="I221" s="65">
        <f>I220/I$12</f>
        <v>4.2740261326169253E-4</v>
      </c>
      <c r="J221" s="65">
        <f>J220/J$12</f>
        <v>-2.7871331539151609</v>
      </c>
      <c r="K221" s="710">
        <v>0</v>
      </c>
      <c r="L221" s="710">
        <f>K221</f>
        <v>0</v>
      </c>
      <c r="M221" s="710">
        <f t="shared" ref="M221:O221" si="66">L221</f>
        <v>0</v>
      </c>
      <c r="N221" s="710">
        <f t="shared" si="66"/>
        <v>0</v>
      </c>
      <c r="O221" s="710">
        <f t="shared" si="66"/>
        <v>0</v>
      </c>
    </row>
    <row r="223" spans="3:15">
      <c r="C223" s="127" t="s">
        <v>342</v>
      </c>
      <c r="D223" s="127"/>
      <c r="E223" s="127"/>
      <c r="F223" s="298">
        <f>'3FS'!E108</f>
        <v>5.0810000000000004</v>
      </c>
      <c r="G223" s="298">
        <f>'3FS'!F108</f>
        <v>15.058</v>
      </c>
      <c r="H223" s="298">
        <f>'3FS'!G108</f>
        <v>13.794</v>
      </c>
      <c r="I223" s="298">
        <f>'3FS'!H108</f>
        <v>14.057</v>
      </c>
      <c r="J223" s="298">
        <f>'3FS'!I108</f>
        <v>18.78</v>
      </c>
      <c r="K223" s="162">
        <f>K12*K224</f>
        <v>134.63330330506585</v>
      </c>
      <c r="L223" s="162">
        <f>L12*L224</f>
        <v>592.37711021105827</v>
      </c>
      <c r="M223" s="162">
        <f>M12*M224</f>
        <v>1263.0526660815792</v>
      </c>
      <c r="N223" s="162">
        <f>N12*N224</f>
        <v>1739.2422620792918</v>
      </c>
      <c r="O223" s="162">
        <f>O12*O224</f>
        <v>1957.5970684597157</v>
      </c>
    </row>
    <row r="224" spans="3:15" s="65" customFormat="1">
      <c r="C224" s="65" t="s">
        <v>274</v>
      </c>
      <c r="F224" s="65">
        <f>F223/F12</f>
        <v>23.200913242009133</v>
      </c>
      <c r="G224" s="65">
        <f>G223/G12</f>
        <v>3.2749021313614617</v>
      </c>
      <c r="H224" s="65">
        <f>H223/H12</f>
        <v>0.76958268243695604</v>
      </c>
      <c r="I224" s="65">
        <f>I223/I12</f>
        <v>0.85828550494565881</v>
      </c>
      <c r="J224" s="65">
        <f>J223/J12</f>
        <v>1.2033833141099577</v>
      </c>
      <c r="K224" s="164">
        <f>MIN(F224:J224)</f>
        <v>0.76958268243695604</v>
      </c>
      <c r="L224" s="164">
        <f>K224</f>
        <v>0.76958268243695604</v>
      </c>
      <c r="M224" s="164">
        <f>L224</f>
        <v>0.76958268243695604</v>
      </c>
      <c r="N224" s="164">
        <f>M224</f>
        <v>0.76958268243695604</v>
      </c>
      <c r="O224" s="164">
        <f>N224</f>
        <v>0.76958268243695604</v>
      </c>
    </row>
  </sheetData>
  <mergeCells count="2">
    <mergeCell ref="F5:J5"/>
    <mergeCell ref="K5:O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63147-91C3-4391-AFAE-D4B89C22632E}">
  <sheetPr>
    <tabColor rgb="FF002060"/>
  </sheetPr>
  <dimension ref="C117:C149"/>
  <sheetViews>
    <sheetView workbookViewId="0"/>
  </sheetViews>
  <sheetFormatPr baseColWidth="10" defaultColWidth="10.6640625" defaultRowHeight="14"/>
  <cols>
    <col min="1" max="16384" width="10.6640625" style="4"/>
  </cols>
  <sheetData>
    <row r="117" spans="3:3">
      <c r="C117" s="146"/>
    </row>
    <row r="118" spans="3:3">
      <c r="C118" s="4" t="s">
        <v>31</v>
      </c>
    </row>
    <row r="119" spans="3:3">
      <c r="C119" s="146"/>
    </row>
    <row r="120" spans="3:3">
      <c r="C120" s="146"/>
    </row>
    <row r="121" spans="3:3">
      <c r="C121" s="146"/>
    </row>
    <row r="122" spans="3:3">
      <c r="C122" s="146"/>
    </row>
    <row r="123" spans="3:3">
      <c r="C123" s="146"/>
    </row>
    <row r="124" spans="3:3">
      <c r="C124" s="146"/>
    </row>
    <row r="125" spans="3:3">
      <c r="C125" s="146"/>
    </row>
    <row r="126" spans="3:3">
      <c r="C126" s="146"/>
    </row>
    <row r="127" spans="3:3">
      <c r="C127" s="146"/>
    </row>
    <row r="128" spans="3:3">
      <c r="C128" s="146"/>
    </row>
    <row r="129" spans="3:3">
      <c r="C129" s="146"/>
    </row>
    <row r="131" spans="3:3">
      <c r="C131" s="146"/>
    </row>
    <row r="132" spans="3:3">
      <c r="C132" s="146"/>
    </row>
    <row r="133" spans="3:3">
      <c r="C133" s="146"/>
    </row>
    <row r="134" spans="3:3">
      <c r="C134" s="146"/>
    </row>
    <row r="135" spans="3:3">
      <c r="C135" s="146"/>
    </row>
    <row r="136" spans="3:3">
      <c r="C136" s="146"/>
    </row>
    <row r="137" spans="3:3">
      <c r="C137" s="146"/>
    </row>
    <row r="138" spans="3:3">
      <c r="C138" s="146"/>
    </row>
    <row r="142" spans="3:3">
      <c r="C142" s="146"/>
    </row>
    <row r="143" spans="3:3">
      <c r="C143" s="146"/>
    </row>
    <row r="144" spans="3:3">
      <c r="C144" s="146"/>
    </row>
    <row r="145" spans="3:3">
      <c r="C145" s="146"/>
    </row>
    <row r="146" spans="3:3">
      <c r="C146" s="146"/>
    </row>
    <row r="147" spans="3:3">
      <c r="C147" s="146"/>
    </row>
    <row r="148" spans="3:3">
      <c r="C148" s="146"/>
    </row>
    <row r="149" spans="3:3">
      <c r="C149" s="14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D7266-4BE8-8F49-ADD0-507EA7B478BB}">
  <dimension ref="A1:V137"/>
  <sheetViews>
    <sheetView showGridLines="0" zoomScale="112" zoomScaleNormal="85" workbookViewId="0">
      <selection activeCell="G15" sqref="G15"/>
    </sheetView>
  </sheetViews>
  <sheetFormatPr baseColWidth="10" defaultColWidth="11.5" defaultRowHeight="14" outlineLevelCol="1"/>
  <cols>
    <col min="1" max="1" width="3" style="4" customWidth="1"/>
    <col min="2" max="2" width="3.5" style="4" customWidth="1"/>
    <col min="3" max="3" width="11.5" style="4" customWidth="1"/>
    <col min="4" max="4" width="11.5" style="4"/>
    <col min="5" max="5" width="10.5" style="4" customWidth="1"/>
    <col min="6" max="6" width="16.5" style="4" bestFit="1" customWidth="1"/>
    <col min="7" max="17" width="11.5" style="4"/>
    <col min="18" max="18" width="11.5" style="4" customWidth="1" outlineLevel="1"/>
    <col min="19" max="19" width="94.6640625" style="4" bestFit="1" customWidth="1"/>
    <col min="20" max="16384" width="11.5" style="4"/>
  </cols>
  <sheetData>
    <row r="1" spans="1:18" ht="24">
      <c r="A1" s="369"/>
      <c r="B1" s="369"/>
      <c r="C1" s="370" t="s">
        <v>32</v>
      </c>
      <c r="D1" s="387"/>
      <c r="E1" s="369"/>
      <c r="F1" s="369"/>
      <c r="G1" s="369"/>
      <c r="H1" s="369"/>
      <c r="I1" s="369"/>
      <c r="J1" s="369"/>
      <c r="K1" s="369"/>
      <c r="L1" s="369"/>
      <c r="M1" s="369"/>
      <c r="N1" s="369"/>
      <c r="O1" s="369"/>
      <c r="P1" s="369"/>
      <c r="Q1" s="369"/>
    </row>
    <row r="2" spans="1:18" ht="15">
      <c r="A2" s="369"/>
      <c r="B2" s="369"/>
      <c r="C2" s="369"/>
      <c r="D2" s="369"/>
      <c r="E2" s="369"/>
      <c r="F2" s="369"/>
      <c r="G2" s="369"/>
      <c r="H2" s="369"/>
      <c r="I2" s="369"/>
      <c r="J2" s="369"/>
      <c r="K2" s="369"/>
      <c r="L2" s="369"/>
      <c r="M2" s="369"/>
      <c r="N2" s="369"/>
      <c r="O2" s="369"/>
      <c r="P2" s="369"/>
      <c r="Q2" s="369"/>
    </row>
    <row r="3" spans="1:18" ht="15">
      <c r="A3" s="369"/>
      <c r="B3" s="369"/>
      <c r="C3" s="369" t="s">
        <v>33</v>
      </c>
      <c r="D3" s="369"/>
      <c r="E3" s="369"/>
      <c r="F3" s="369"/>
      <c r="G3" s="369"/>
      <c r="H3" s="369"/>
      <c r="I3" s="369"/>
      <c r="J3" s="369"/>
      <c r="K3" s="369"/>
      <c r="L3" s="369"/>
      <c r="M3" s="369"/>
      <c r="N3" s="369"/>
      <c r="O3" s="369"/>
      <c r="P3" s="369"/>
      <c r="Q3" s="369"/>
    </row>
    <row r="4" spans="1:18" ht="15">
      <c r="A4" s="369"/>
      <c r="B4" s="369"/>
      <c r="C4" s="369" t="s">
        <v>34</v>
      </c>
      <c r="D4" s="369"/>
      <c r="E4" s="369"/>
      <c r="F4" s="369"/>
      <c r="G4" s="369" t="str">
        <f>Cover!C11</f>
        <v>Base Case</v>
      </c>
      <c r="H4" s="369"/>
      <c r="I4" s="369"/>
      <c r="J4" s="369"/>
      <c r="K4" s="369"/>
      <c r="L4" s="369"/>
      <c r="M4" s="369"/>
      <c r="N4" s="369"/>
      <c r="O4" s="369"/>
      <c r="P4" s="369"/>
      <c r="Q4" s="369"/>
    </row>
    <row r="5" spans="1:18" ht="15">
      <c r="A5" s="369"/>
      <c r="B5" s="369"/>
      <c r="C5" s="369"/>
      <c r="D5" s="369"/>
      <c r="E5" s="369"/>
      <c r="F5" s="369"/>
      <c r="G5" s="786"/>
      <c r="H5" s="786" t="s">
        <v>343</v>
      </c>
      <c r="I5" s="786"/>
      <c r="J5" s="786"/>
      <c r="K5" s="786"/>
      <c r="L5" s="786"/>
      <c r="M5" s="786" t="s">
        <v>344</v>
      </c>
      <c r="N5" s="786"/>
      <c r="O5" s="786"/>
      <c r="P5" s="786"/>
      <c r="Q5" s="369"/>
    </row>
    <row r="6" spans="1:18" ht="15">
      <c r="A6" s="369"/>
      <c r="B6" s="369"/>
      <c r="C6" s="369" t="s">
        <v>37</v>
      </c>
      <c r="D6" s="369"/>
      <c r="E6" s="369"/>
      <c r="F6" s="369"/>
      <c r="G6" s="371"/>
      <c r="H6" s="371">
        <v>20</v>
      </c>
      <c r="I6" s="371">
        <v>21</v>
      </c>
      <c r="J6" s="371">
        <v>22</v>
      </c>
      <c r="K6" s="371">
        <v>23</v>
      </c>
      <c r="L6" s="388">
        <v>24</v>
      </c>
      <c r="M6" s="388">
        <v>25</v>
      </c>
      <c r="N6" s="388">
        <v>26</v>
      </c>
      <c r="O6" s="388">
        <v>27</v>
      </c>
      <c r="P6" s="388">
        <v>28</v>
      </c>
      <c r="Q6" s="388">
        <v>29</v>
      </c>
    </row>
    <row r="7" spans="1:18" ht="16">
      <c r="A7" s="718"/>
      <c r="B7" s="718"/>
      <c r="C7" s="718" t="s">
        <v>345</v>
      </c>
      <c r="D7" s="718"/>
      <c r="E7" s="718"/>
      <c r="F7" s="718"/>
      <c r="G7" s="718"/>
      <c r="H7" s="10">
        <v>44227</v>
      </c>
      <c r="I7" s="10">
        <v>44592</v>
      </c>
      <c r="J7" s="10">
        <v>44957</v>
      </c>
      <c r="K7" s="10">
        <v>45322</v>
      </c>
      <c r="L7" s="10">
        <v>45688</v>
      </c>
      <c r="M7" s="10">
        <v>46053</v>
      </c>
      <c r="N7" s="10">
        <v>46418</v>
      </c>
      <c r="O7" s="10">
        <v>46783</v>
      </c>
      <c r="P7" s="10">
        <v>47149</v>
      </c>
      <c r="Q7" s="10">
        <v>47514</v>
      </c>
    </row>
    <row r="8" spans="1:18" ht="15">
      <c r="A8" s="345"/>
      <c r="B8" s="345"/>
      <c r="C8" s="345"/>
      <c r="D8" s="345"/>
      <c r="E8" s="345"/>
      <c r="F8" s="345"/>
      <c r="G8" s="345"/>
      <c r="H8" s="345"/>
      <c r="I8" s="345"/>
      <c r="J8" s="345"/>
      <c r="K8" s="345"/>
      <c r="L8" s="345"/>
      <c r="M8" s="345"/>
      <c r="N8" s="345"/>
      <c r="O8" s="345"/>
      <c r="P8" s="345"/>
      <c r="Q8" s="345"/>
    </row>
    <row r="9" spans="1:18" ht="16">
      <c r="A9" s="389">
        <v>1</v>
      </c>
      <c r="B9" s="718"/>
      <c r="C9" s="390" t="s">
        <v>346</v>
      </c>
      <c r="D9" s="390"/>
      <c r="E9" s="390"/>
      <c r="F9" s="390"/>
      <c r="G9" s="390"/>
      <c r="H9" s="391">
        <v>20</v>
      </c>
      <c r="I9" s="391">
        <v>21</v>
      </c>
      <c r="J9" s="391">
        <v>22</v>
      </c>
      <c r="K9" s="391">
        <v>23</v>
      </c>
      <c r="L9" s="391">
        <v>24</v>
      </c>
      <c r="M9" s="392">
        <v>25</v>
      </c>
      <c r="N9" s="392">
        <v>26</v>
      </c>
      <c r="O9" s="392">
        <v>27</v>
      </c>
      <c r="P9" s="392">
        <v>28</v>
      </c>
      <c r="Q9" s="392">
        <v>29</v>
      </c>
    </row>
    <row r="10" spans="1:18" ht="16">
      <c r="A10" s="718"/>
      <c r="B10" s="718"/>
      <c r="C10" s="718"/>
      <c r="D10" s="718"/>
      <c r="E10" s="718"/>
      <c r="F10" s="718"/>
      <c r="G10" s="718"/>
      <c r="H10" s="718"/>
      <c r="I10" s="718"/>
      <c r="J10" s="718"/>
      <c r="K10" s="718"/>
      <c r="L10" s="718"/>
      <c r="M10" s="718"/>
      <c r="N10" s="718"/>
      <c r="O10" s="718"/>
      <c r="P10" s="718"/>
      <c r="Q10" s="718"/>
    </row>
    <row r="11" spans="1:18" ht="16">
      <c r="A11" s="718"/>
      <c r="B11" s="718"/>
      <c r="C11" s="6" t="s">
        <v>347</v>
      </c>
      <c r="D11" s="718"/>
      <c r="E11" s="718"/>
      <c r="F11" s="718"/>
      <c r="G11" s="11"/>
      <c r="H11" s="12">
        <f>'3FS'!E73</f>
        <v>0.92400000000000004</v>
      </c>
      <c r="I11" s="12">
        <f>'3FS'!F73</f>
        <v>6.57</v>
      </c>
      <c r="J11" s="12">
        <f>'3FS'!G73</f>
        <v>5.56</v>
      </c>
      <c r="K11" s="12">
        <f>'3FS'!H73</f>
        <v>3.3319999999999999</v>
      </c>
      <c r="L11" s="12">
        <f>'3FS'!I73</f>
        <v>2.0139999999999998</v>
      </c>
      <c r="M11" s="740">
        <f ca="1">-N17</f>
        <v>416.87314180425602</v>
      </c>
      <c r="N11" s="740">
        <f ca="1">-O17</f>
        <v>76.973809797179996</v>
      </c>
      <c r="O11" s="740">
        <f ca="1">-P17</f>
        <v>164.12176299004079</v>
      </c>
      <c r="P11" s="740">
        <f ca="1">-Q17</f>
        <v>225.99810283825741</v>
      </c>
      <c r="Q11" s="740">
        <f>-R17</f>
        <v>0</v>
      </c>
    </row>
    <row r="12" spans="1:18" ht="16">
      <c r="A12" s="718"/>
      <c r="B12" s="718"/>
      <c r="C12" s="13" t="s">
        <v>348</v>
      </c>
      <c r="D12" s="718"/>
      <c r="E12" s="718"/>
      <c r="F12" s="718"/>
      <c r="G12" s="11"/>
      <c r="H12" s="12">
        <f>'3FS'!E80</f>
        <v>0.42699999999999999</v>
      </c>
      <c r="I12" s="12">
        <f>'3FS'!F80</f>
        <v>102.64400000000001</v>
      </c>
      <c r="J12" s="12">
        <f>'3FS'!G80</f>
        <v>170.27099999999999</v>
      </c>
      <c r="K12" s="12">
        <f>'3FS'!H80</f>
        <v>200.52699999999999</v>
      </c>
      <c r="L12" s="12">
        <f>'3FS'!I80</f>
        <v>314.88200000000001</v>
      </c>
      <c r="M12" s="740">
        <f ca="1">M18-M11</f>
        <v>0</v>
      </c>
      <c r="N12" s="740">
        <f ca="1">N18-N11</f>
        <v>0</v>
      </c>
      <c r="O12" s="740">
        <f ca="1">O18-O11</f>
        <v>0</v>
      </c>
      <c r="P12" s="740">
        <f ca="1">P18-P11</f>
        <v>0</v>
      </c>
      <c r="Q12" s="740">
        <f ca="1">Q18-Q11</f>
        <v>254.37124731819591</v>
      </c>
    </row>
    <row r="13" spans="1:18" ht="16">
      <c r="A13" s="718"/>
      <c r="B13" s="718"/>
      <c r="C13" s="14" t="s">
        <v>71</v>
      </c>
      <c r="D13" s="741"/>
      <c r="E13" s="741"/>
      <c r="F13" s="741"/>
      <c r="G13" s="742"/>
      <c r="H13" s="15">
        <f t="shared" ref="H13:Q13" si="0">H11+H12</f>
        <v>1.351</v>
      </c>
      <c r="I13" s="15">
        <f t="shared" si="0"/>
        <v>109.214</v>
      </c>
      <c r="J13" s="15">
        <f t="shared" si="0"/>
        <v>175.83099999999999</v>
      </c>
      <c r="K13" s="15">
        <f t="shared" si="0"/>
        <v>203.85899999999998</v>
      </c>
      <c r="L13" s="15">
        <f t="shared" si="0"/>
        <v>316.89600000000002</v>
      </c>
      <c r="M13" s="15">
        <f t="shared" ca="1" si="0"/>
        <v>416.87314180425602</v>
      </c>
      <c r="N13" s="15">
        <f t="shared" ca="1" si="0"/>
        <v>76.973809797179996</v>
      </c>
      <c r="O13" s="15">
        <f t="shared" ca="1" si="0"/>
        <v>164.12176299004079</v>
      </c>
      <c r="P13" s="15">
        <f t="shared" ca="1" si="0"/>
        <v>225.99810283825741</v>
      </c>
      <c r="Q13" s="16">
        <f t="shared" ca="1" si="0"/>
        <v>254.37124731819591</v>
      </c>
    </row>
    <row r="14" spans="1:18" ht="16">
      <c r="A14" s="718"/>
      <c r="B14" s="718"/>
      <c r="C14" s="17"/>
      <c r="D14" s="718"/>
      <c r="E14" s="718"/>
      <c r="F14" s="718"/>
      <c r="G14" s="743"/>
      <c r="H14" s="18"/>
      <c r="I14" s="18"/>
      <c r="J14" s="18"/>
      <c r="K14" s="18"/>
      <c r="L14" s="18"/>
      <c r="M14" s="18"/>
      <c r="N14" s="18"/>
      <c r="O14" s="18"/>
      <c r="P14" s="18"/>
      <c r="Q14" s="18"/>
    </row>
    <row r="15" spans="1:18" ht="16">
      <c r="A15" s="718"/>
      <c r="B15" s="718"/>
      <c r="C15" s="717" t="s">
        <v>349</v>
      </c>
      <c r="D15" s="718"/>
      <c r="E15" s="718"/>
      <c r="F15" s="718"/>
      <c r="G15" s="718"/>
      <c r="H15" s="19"/>
      <c r="I15" s="19"/>
      <c r="J15" s="19"/>
      <c r="K15" s="19"/>
      <c r="L15" s="19"/>
      <c r="M15" s="740">
        <f t="shared" ref="M15:R15" si="1">L13</f>
        <v>316.89600000000002</v>
      </c>
      <c r="N15" s="740">
        <f t="shared" ca="1" si="1"/>
        <v>416.87314180425602</v>
      </c>
      <c r="O15" s="740">
        <f t="shared" ca="1" si="1"/>
        <v>76.973809797179996</v>
      </c>
      <c r="P15" s="740">
        <f t="shared" ca="1" si="1"/>
        <v>164.12176299004079</v>
      </c>
      <c r="Q15" s="740">
        <f t="shared" ca="1" si="1"/>
        <v>225.99810283825741</v>
      </c>
      <c r="R15" s="740">
        <f t="shared" ca="1" si="1"/>
        <v>254.37124731819591</v>
      </c>
    </row>
    <row r="16" spans="1:18" ht="16">
      <c r="A16" s="718"/>
      <c r="B16" s="718"/>
      <c r="C16" s="717" t="s">
        <v>350</v>
      </c>
      <c r="D16" s="718"/>
      <c r="E16" s="718"/>
      <c r="F16" s="718"/>
      <c r="G16" s="718"/>
      <c r="H16" s="19"/>
      <c r="I16" s="19"/>
      <c r="J16" s="19"/>
      <c r="K16" s="19"/>
      <c r="L16" s="19"/>
      <c r="M16" s="740">
        <f t="shared" ref="M16:R16" ca="1" si="2">M38+M40</f>
        <v>416.87314180425602</v>
      </c>
      <c r="N16" s="740">
        <f t="shared" ca="1" si="2"/>
        <v>76.973809797179996</v>
      </c>
      <c r="O16" s="740">
        <f t="shared" ca="1" si="2"/>
        <v>164.12176299004079</v>
      </c>
      <c r="P16" s="740">
        <f t="shared" ca="1" si="2"/>
        <v>225.99810283825741</v>
      </c>
      <c r="Q16" s="740">
        <f t="shared" ca="1" si="2"/>
        <v>254.37124731819591</v>
      </c>
      <c r="R16" s="740">
        <f t="shared" si="2"/>
        <v>0</v>
      </c>
    </row>
    <row r="17" spans="1:19" ht="16">
      <c r="A17" s="718"/>
      <c r="B17" s="718"/>
      <c r="C17" s="717" t="s">
        <v>351</v>
      </c>
      <c r="D17" s="718"/>
      <c r="E17" s="718"/>
      <c r="F17" s="718"/>
      <c r="G17" s="718"/>
      <c r="H17" s="19"/>
      <c r="I17" s="19"/>
      <c r="J17" s="19"/>
      <c r="K17" s="19"/>
      <c r="L17" s="19"/>
      <c r="M17" s="740">
        <f t="shared" ref="M17:R17" ca="1" si="3">M39+M50</f>
        <v>-316.89600000000002</v>
      </c>
      <c r="N17" s="740">
        <f t="shared" ca="1" si="3"/>
        <v>-416.87314180425602</v>
      </c>
      <c r="O17" s="740">
        <f t="shared" ca="1" si="3"/>
        <v>-76.973809797179996</v>
      </c>
      <c r="P17" s="740">
        <f t="shared" ca="1" si="3"/>
        <v>-164.12176299004079</v>
      </c>
      <c r="Q17" s="740">
        <f t="shared" ca="1" si="3"/>
        <v>-225.99810283825741</v>
      </c>
      <c r="R17" s="740">
        <f t="shared" si="3"/>
        <v>0</v>
      </c>
    </row>
    <row r="18" spans="1:19" ht="16">
      <c r="A18" s="718"/>
      <c r="B18" s="718"/>
      <c r="C18" s="14" t="s">
        <v>352</v>
      </c>
      <c r="D18" s="741"/>
      <c r="E18" s="741"/>
      <c r="F18" s="741"/>
      <c r="G18" s="741"/>
      <c r="H18" s="744"/>
      <c r="I18" s="744"/>
      <c r="J18" s="744"/>
      <c r="K18" s="744"/>
      <c r="L18" s="744"/>
      <c r="M18" s="15">
        <f t="shared" ref="M18:R18" ca="1" si="4">SUM(M15:M17)</f>
        <v>416.87314180425602</v>
      </c>
      <c r="N18" s="15">
        <f t="shared" ca="1" si="4"/>
        <v>76.973809797179968</v>
      </c>
      <c r="O18" s="15">
        <f t="shared" ca="1" si="4"/>
        <v>164.12176299004079</v>
      </c>
      <c r="P18" s="15">
        <f t="shared" ca="1" si="4"/>
        <v>225.99810283825741</v>
      </c>
      <c r="Q18" s="16">
        <f t="shared" ca="1" si="4"/>
        <v>254.37124731819591</v>
      </c>
      <c r="R18" s="16">
        <f t="shared" ca="1" si="4"/>
        <v>254.37124731819591</v>
      </c>
    </row>
    <row r="19" spans="1:19" ht="16">
      <c r="A19" s="718"/>
      <c r="B19" s="718"/>
      <c r="C19" s="20"/>
      <c r="D19" s="718"/>
      <c r="E19" s="718"/>
      <c r="F19" s="718"/>
      <c r="G19" s="743"/>
      <c r="H19" s="743"/>
      <c r="I19" s="743"/>
      <c r="J19" s="743"/>
      <c r="K19" s="743"/>
      <c r="L19" s="743"/>
      <c r="M19" s="743"/>
      <c r="N19" s="743"/>
      <c r="O19" s="743"/>
      <c r="P19" s="743"/>
      <c r="Q19" s="718"/>
    </row>
    <row r="20" spans="1:19" ht="16">
      <c r="A20" s="718"/>
      <c r="B20" s="718"/>
      <c r="C20" s="393" t="s">
        <v>353</v>
      </c>
      <c r="D20" s="393"/>
      <c r="E20" s="393"/>
      <c r="F20" s="393"/>
      <c r="G20" s="393"/>
      <c r="H20" s="394">
        <v>20</v>
      </c>
      <c r="I20" s="394">
        <v>21</v>
      </c>
      <c r="J20" s="394">
        <v>22</v>
      </c>
      <c r="K20" s="394">
        <v>23</v>
      </c>
      <c r="L20" s="394">
        <v>24</v>
      </c>
      <c r="M20" s="395">
        <v>25</v>
      </c>
      <c r="N20" s="395">
        <v>26</v>
      </c>
      <c r="O20" s="395">
        <v>27</v>
      </c>
      <c r="P20" s="395">
        <v>28</v>
      </c>
      <c r="Q20" s="395">
        <v>29</v>
      </c>
    </row>
    <row r="21" spans="1:19" ht="17" thickBot="1">
      <c r="A21" s="718"/>
      <c r="B21" s="718"/>
      <c r="C21" s="718"/>
      <c r="D21" s="718"/>
      <c r="E21" s="718"/>
      <c r="F21" s="718"/>
      <c r="G21" s="718"/>
      <c r="H21" s="718"/>
      <c r="I21" s="718"/>
      <c r="J21" s="718"/>
      <c r="K21" s="718"/>
      <c r="L21" s="718"/>
      <c r="M21" s="718"/>
      <c r="N21" s="718"/>
      <c r="O21" s="718"/>
      <c r="P21" s="718"/>
      <c r="Q21" s="718"/>
    </row>
    <row r="22" spans="1:19" ht="17" thickBot="1">
      <c r="A22" s="718"/>
      <c r="B22" s="718"/>
      <c r="C22" s="21" t="s">
        <v>354</v>
      </c>
      <c r="D22" s="22"/>
      <c r="E22" s="22"/>
      <c r="F22" s="23" t="s">
        <v>355</v>
      </c>
      <c r="G22" s="24"/>
      <c r="H22" s="25"/>
      <c r="I22" s="25"/>
      <c r="J22" s="25"/>
      <c r="K22" s="25"/>
      <c r="L22" s="25"/>
      <c r="M22" s="25"/>
      <c r="N22" s="25"/>
      <c r="O22" s="25"/>
      <c r="P22" s="25"/>
      <c r="Q22" s="25"/>
    </row>
    <row r="23" spans="1:19" ht="16">
      <c r="A23" s="718"/>
      <c r="B23" s="718"/>
      <c r="C23" s="25"/>
      <c r="D23" s="25"/>
      <c r="E23" s="25"/>
      <c r="F23" s="25"/>
      <c r="G23" s="25"/>
      <c r="H23" s="25"/>
      <c r="I23" s="25"/>
      <c r="J23" s="25"/>
      <c r="K23" s="25"/>
      <c r="L23" s="25"/>
      <c r="M23" s="25"/>
      <c r="N23" s="25"/>
      <c r="O23" s="25"/>
      <c r="P23" s="25"/>
      <c r="Q23" s="25"/>
    </row>
    <row r="24" spans="1:19" ht="16">
      <c r="A24" s="718"/>
      <c r="B24" s="718"/>
      <c r="C24" s="299" t="s">
        <v>356</v>
      </c>
      <c r="D24" s="34"/>
      <c r="E24" s="34"/>
      <c r="F24" s="34"/>
      <c r="G24" s="34"/>
      <c r="H24" s="300">
        <f>'3FS'!E13</f>
        <v>0.219</v>
      </c>
      <c r="I24" s="300">
        <f>'3FS'!F13</f>
        <v>4.5979999999999999</v>
      </c>
      <c r="J24" s="300">
        <f>'3FS'!G13</f>
        <v>17.923999999999999</v>
      </c>
      <c r="K24" s="300">
        <f>'3FS'!H13</f>
        <v>16.378</v>
      </c>
      <c r="L24" s="300">
        <f>'3FS'!I13</f>
        <v>15.606</v>
      </c>
      <c r="M24" s="300">
        <f>'3FS'!J13</f>
        <v>174.94326000000001</v>
      </c>
      <c r="N24" s="300">
        <f>'3FS'!K13</f>
        <v>769.7380979717999</v>
      </c>
      <c r="O24" s="300">
        <f>'3FS'!L13</f>
        <v>1641.2176299004077</v>
      </c>
      <c r="P24" s="300">
        <f>'3FS'!M13</f>
        <v>2259.9810283825741</v>
      </c>
      <c r="Q24" s="300">
        <f>'3FS'!N13</f>
        <v>2543.712473181959</v>
      </c>
      <c r="R24" s="300">
        <f>Q24</f>
        <v>2543.712473181959</v>
      </c>
    </row>
    <row r="25" spans="1:19" ht="16">
      <c r="A25" s="718"/>
      <c r="B25" s="718"/>
      <c r="C25" s="718"/>
      <c r="D25" s="718"/>
      <c r="E25" s="718"/>
      <c r="F25" s="718"/>
      <c r="G25" s="718"/>
      <c r="H25" s="718"/>
      <c r="I25" s="718"/>
      <c r="J25" s="718"/>
      <c r="K25" s="718"/>
      <c r="L25" s="718"/>
      <c r="M25" s="718"/>
      <c r="N25" s="718"/>
      <c r="O25" s="718"/>
      <c r="P25" s="718"/>
      <c r="Q25" s="718"/>
    </row>
    <row r="26" spans="1:19" ht="16">
      <c r="A26" s="718"/>
      <c r="B26" s="718"/>
      <c r="C26" s="717" t="s">
        <v>357</v>
      </c>
      <c r="D26" s="718"/>
      <c r="E26" s="718"/>
      <c r="F26" s="718"/>
      <c r="G26" s="718"/>
      <c r="H26" s="19"/>
      <c r="I26" s="19"/>
      <c r="J26" s="19"/>
      <c r="K26" s="19"/>
      <c r="L26" s="19"/>
      <c r="M26" s="12">
        <f>'3FS'!I48</f>
        <v>74.292000000000002</v>
      </c>
      <c r="N26" s="12">
        <f ca="1">'3FS'!J48</f>
        <v>32.036765498633912</v>
      </c>
      <c r="O26" s="12">
        <f ca="1">'3FS'!K48</f>
        <v>813.55452263172697</v>
      </c>
      <c r="P26" s="12">
        <f ca="1">'3FS'!L48</f>
        <v>3188.6990187586853</v>
      </c>
      <c r="Q26" s="12">
        <f ca="1">'3FS'!M48</f>
        <v>6100.6288754768575</v>
      </c>
      <c r="R26" s="12">
        <f t="shared" ref="R26:R31" ca="1" si="5">Q26</f>
        <v>6100.6288754768575</v>
      </c>
    </row>
    <row r="27" spans="1:19" ht="16">
      <c r="A27" s="718"/>
      <c r="B27" s="718"/>
      <c r="C27" s="717" t="s">
        <v>358</v>
      </c>
      <c r="D27" s="718"/>
      <c r="E27" s="718"/>
      <c r="F27" s="718"/>
      <c r="G27" s="718"/>
      <c r="H27" s="19"/>
      <c r="I27" s="19"/>
      <c r="J27" s="19"/>
      <c r="K27" s="19"/>
      <c r="L27" s="19"/>
      <c r="M27" s="12">
        <f ca="1">'3FS'!J125+'3FS'!J132</f>
        <v>-154.88578522841252</v>
      </c>
      <c r="N27" s="12">
        <f ca="1">'3FS'!K125+'3FS'!K132</f>
        <v>1115.5931664192726</v>
      </c>
      <c r="O27" s="12">
        <f ca="1">'3FS'!L125+'3FS'!L132</f>
        <v>2276.7907885253635</v>
      </c>
      <c r="P27" s="12">
        <f ca="1">'3FS'!M125+'3FS'!M132</f>
        <v>2830.0054892762414</v>
      </c>
      <c r="Q27" s="12">
        <f ca="1">'3FS'!N125+'3FS'!N132</f>
        <v>2990.1257220528987</v>
      </c>
      <c r="R27" s="12">
        <f t="shared" ca="1" si="5"/>
        <v>2990.1257220528987</v>
      </c>
      <c r="S27" s="26"/>
    </row>
    <row r="28" spans="1:19" ht="16">
      <c r="A28" s="718"/>
      <c r="B28" s="718"/>
      <c r="C28" s="717" t="s">
        <v>359</v>
      </c>
      <c r="D28" s="718"/>
      <c r="E28" s="718"/>
      <c r="F28" s="718"/>
      <c r="G28" s="718"/>
      <c r="H28" s="19"/>
      <c r="I28" s="19"/>
      <c r="J28" s="19"/>
      <c r="K28" s="19"/>
      <c r="L28" s="19"/>
      <c r="M28" s="740">
        <f>M50</f>
        <v>-316.89600000000002</v>
      </c>
      <c r="N28" s="740">
        <f>N50</f>
        <v>0</v>
      </c>
      <c r="O28" s="740">
        <f>O50</f>
        <v>0</v>
      </c>
      <c r="P28" s="740">
        <f>P50</f>
        <v>0</v>
      </c>
      <c r="Q28" s="740">
        <f>Q50</f>
        <v>0</v>
      </c>
      <c r="R28" s="740">
        <f t="shared" si="5"/>
        <v>0</v>
      </c>
    </row>
    <row r="29" spans="1:19" ht="16">
      <c r="A29" s="718"/>
      <c r="B29" s="718"/>
      <c r="C29" s="717" t="s">
        <v>360</v>
      </c>
      <c r="D29" s="718"/>
      <c r="E29" s="718"/>
      <c r="F29" s="718"/>
      <c r="G29" s="718"/>
      <c r="H29" s="19"/>
      <c r="I29" s="19"/>
      <c r="J29" s="19"/>
      <c r="K29" s="19"/>
      <c r="L29" s="19"/>
      <c r="M29" s="12">
        <f ca="1">Projections!K133</f>
        <v>-1.8890305758435115</v>
      </c>
      <c r="N29" s="12">
        <f ca="1">Projections!L133</f>
        <v>-3.9697231410498759</v>
      </c>
      <c r="O29" s="12">
        <f ca="1">Projections!M133</f>
        <v>-8.0728150907318508</v>
      </c>
      <c r="P29" s="12">
        <f ca="1">Projections!N133</f>
        <v>-15.66864541893538</v>
      </c>
      <c r="Q29" s="12">
        <f ca="1">Projections!O133</f>
        <v>-29.781500480666644</v>
      </c>
      <c r="R29" s="12">
        <f t="shared" ca="1" si="5"/>
        <v>-29.781500480666644</v>
      </c>
    </row>
    <row r="30" spans="1:19" ht="16">
      <c r="A30" s="718"/>
      <c r="B30" s="718"/>
      <c r="C30" s="717" t="s">
        <v>361</v>
      </c>
      <c r="D30" s="718"/>
      <c r="E30" s="718"/>
      <c r="F30" s="718"/>
      <c r="G30" s="718"/>
      <c r="H30" s="19"/>
      <c r="I30" s="19"/>
      <c r="J30" s="19"/>
      <c r="K30" s="19"/>
      <c r="L30" s="19"/>
      <c r="M30" s="740">
        <f ca="1">-M76</f>
        <v>0</v>
      </c>
      <c r="N30" s="740">
        <f ca="1">-N76</f>
        <v>0</v>
      </c>
      <c r="O30" s="740">
        <f ca="1">-O76</f>
        <v>0</v>
      </c>
      <c r="P30" s="740">
        <f ca="1">-P76</f>
        <v>0</v>
      </c>
      <c r="Q30" s="740">
        <f ca="1">-Q76</f>
        <v>0</v>
      </c>
      <c r="R30" s="740">
        <f t="shared" ca="1" si="5"/>
        <v>0</v>
      </c>
    </row>
    <row r="31" spans="1:19" ht="16">
      <c r="A31" s="718"/>
      <c r="B31" s="718"/>
      <c r="C31" s="717" t="s">
        <v>362</v>
      </c>
      <c r="D31" s="718"/>
      <c r="E31" s="27"/>
      <c r="F31" s="28">
        <v>0.1</v>
      </c>
      <c r="G31" s="718"/>
      <c r="H31" s="19"/>
      <c r="I31" s="19"/>
      <c r="J31" s="19"/>
      <c r="K31" s="19"/>
      <c r="L31" s="19"/>
      <c r="M31" s="29">
        <f>-$F$31*'Debt &amp; Equity'!M24</f>
        <v>-17.494326000000001</v>
      </c>
      <c r="N31" s="29">
        <f>-$F$31*'Debt &amp; Equity'!N24</f>
        <v>-76.973809797179996</v>
      </c>
      <c r="O31" s="29">
        <f>-$F$31*'Debt &amp; Equity'!O24</f>
        <v>-164.12176299004079</v>
      </c>
      <c r="P31" s="29">
        <f>-$F$31*'Debt &amp; Equity'!P24</f>
        <v>-225.99810283825741</v>
      </c>
      <c r="Q31" s="29">
        <f>-$F$31*'Debt &amp; Equity'!Q24</f>
        <v>-254.37124731819591</v>
      </c>
      <c r="R31" s="29">
        <f t="shared" si="5"/>
        <v>-254.37124731819591</v>
      </c>
    </row>
    <row r="32" spans="1:19" ht="16">
      <c r="A32" s="718"/>
      <c r="B32" s="718"/>
      <c r="C32" s="14" t="s">
        <v>363</v>
      </c>
      <c r="D32" s="741"/>
      <c r="E32" s="741"/>
      <c r="F32" s="741"/>
      <c r="G32" s="741"/>
      <c r="H32" s="744"/>
      <c r="I32" s="744"/>
      <c r="J32" s="744"/>
      <c r="K32" s="744"/>
      <c r="L32" s="744"/>
      <c r="M32" s="15">
        <f t="shared" ref="M32:R32" ca="1" si="6">IF($F$22="OFF",SUM(M26:M31),0)</f>
        <v>-416.87314180425602</v>
      </c>
      <c r="N32" s="15">
        <f t="shared" ca="1" si="6"/>
        <v>1066.6863989796768</v>
      </c>
      <c r="O32" s="15">
        <f t="shared" ca="1" si="6"/>
        <v>2918.1507330763184</v>
      </c>
      <c r="P32" s="15">
        <f t="shared" ca="1" si="6"/>
        <v>5777.0377597777342</v>
      </c>
      <c r="Q32" s="16">
        <f t="shared" ca="1" si="6"/>
        <v>8806.6018497308924</v>
      </c>
      <c r="R32" s="30">
        <f t="shared" ca="1" si="6"/>
        <v>8806.6018497308924</v>
      </c>
      <c r="S32" s="31"/>
    </row>
    <row r="33" spans="1:22" ht="16">
      <c r="A33" s="718"/>
      <c r="B33" s="718"/>
      <c r="C33" s="718"/>
      <c r="D33" s="718"/>
      <c r="E33" s="718"/>
      <c r="F33" s="718"/>
      <c r="G33" s="718"/>
      <c r="H33" s="718"/>
      <c r="I33" s="718"/>
      <c r="J33" s="718"/>
      <c r="K33" s="718"/>
      <c r="L33" s="718"/>
      <c r="M33" s="719"/>
      <c r="N33" s="719"/>
      <c r="O33" s="719"/>
      <c r="P33" s="719"/>
      <c r="Q33" s="719"/>
      <c r="S33" s="32"/>
      <c r="V33" s="5"/>
    </row>
    <row r="34" spans="1:22" ht="16">
      <c r="A34" s="718"/>
      <c r="B34" s="718"/>
      <c r="C34" s="33" t="s">
        <v>364</v>
      </c>
      <c r="D34" s="718"/>
      <c r="E34" s="718"/>
      <c r="F34" s="718"/>
      <c r="G34" s="718"/>
      <c r="H34" s="718"/>
      <c r="I34" s="718"/>
      <c r="J34" s="718"/>
      <c r="K34" s="718"/>
      <c r="L34" s="718"/>
      <c r="M34" s="718"/>
      <c r="N34" s="718"/>
      <c r="O34" s="718"/>
      <c r="P34" s="718"/>
      <c r="Q34" s="718"/>
    </row>
    <row r="35" spans="1:22" ht="16">
      <c r="A35" s="718"/>
      <c r="B35" s="718"/>
      <c r="C35" s="718" t="s">
        <v>365</v>
      </c>
      <c r="D35" s="718"/>
      <c r="E35" s="718"/>
      <c r="F35" s="718"/>
      <c r="G35" s="28">
        <v>0.1</v>
      </c>
      <c r="H35" s="718"/>
      <c r="I35" s="718"/>
      <c r="J35" s="718"/>
      <c r="K35" s="718"/>
      <c r="L35" s="718"/>
      <c r="M35" s="718"/>
      <c r="N35" s="718"/>
      <c r="O35" s="718"/>
      <c r="P35" s="718"/>
      <c r="Q35" s="718"/>
    </row>
    <row r="36" spans="1:22" ht="16">
      <c r="A36" s="718"/>
      <c r="B36" s="718"/>
      <c r="C36" s="718"/>
      <c r="D36" s="718"/>
      <c r="E36" s="718"/>
      <c r="F36" s="718"/>
      <c r="G36" s="718"/>
      <c r="H36" s="718"/>
      <c r="I36" s="718"/>
      <c r="J36" s="718"/>
      <c r="K36" s="718"/>
      <c r="L36" s="718"/>
      <c r="M36" s="718"/>
      <c r="N36" s="718"/>
      <c r="O36" s="718"/>
      <c r="P36" s="718"/>
      <c r="Q36" s="718"/>
    </row>
    <row r="37" spans="1:22" ht="16">
      <c r="A37" s="718"/>
      <c r="B37" s="718"/>
      <c r="C37" s="717" t="s">
        <v>366</v>
      </c>
      <c r="D37" s="718"/>
      <c r="E37" s="718"/>
      <c r="F37" s="718"/>
      <c r="G37" s="718"/>
      <c r="H37" s="19"/>
      <c r="I37" s="19"/>
      <c r="J37" s="19"/>
      <c r="K37" s="19"/>
      <c r="L37" s="19"/>
      <c r="M37" s="740">
        <v>0</v>
      </c>
      <c r="N37" s="740">
        <f ca="1">M41</f>
        <v>416.87314180425602</v>
      </c>
      <c r="O37" s="740">
        <f ca="1">N41</f>
        <v>76.973809797179996</v>
      </c>
      <c r="P37" s="740">
        <f ca="1">O41</f>
        <v>164.12176299004079</v>
      </c>
      <c r="Q37" s="740">
        <f ca="1">P41</f>
        <v>225.99810283825741</v>
      </c>
      <c r="R37" s="740"/>
    </row>
    <row r="38" spans="1:22" ht="16">
      <c r="A38" s="718"/>
      <c r="B38" s="718"/>
      <c r="C38" s="717" t="s">
        <v>367</v>
      </c>
      <c r="D38" s="718"/>
      <c r="E38" s="718"/>
      <c r="F38" s="718"/>
      <c r="G38" s="718"/>
      <c r="H38" s="19"/>
      <c r="I38" s="19"/>
      <c r="J38" s="19"/>
      <c r="K38" s="19"/>
      <c r="L38" s="19"/>
      <c r="M38" s="740">
        <f ca="1">-MIN(M32,0)</f>
        <v>416.87314180425602</v>
      </c>
      <c r="N38" s="740">
        <f ca="1">-MIN(N32,0)</f>
        <v>0</v>
      </c>
      <c r="O38" s="740">
        <f ca="1">-MIN(O32,0)</f>
        <v>0</v>
      </c>
      <c r="P38" s="740">
        <f ca="1">-MIN(P32,0)</f>
        <v>0</v>
      </c>
      <c r="Q38" s="740">
        <f ca="1">-MIN(Q32,0)</f>
        <v>0</v>
      </c>
    </row>
    <row r="39" spans="1:22" ht="16">
      <c r="A39" s="718"/>
      <c r="B39" s="718"/>
      <c r="C39" s="717" t="s">
        <v>368</v>
      </c>
      <c r="D39" s="718"/>
      <c r="E39" s="718"/>
      <c r="F39" s="718"/>
      <c r="G39" s="718"/>
      <c r="H39" s="19"/>
      <c r="I39" s="19"/>
      <c r="J39" s="19"/>
      <c r="K39" s="19"/>
      <c r="L39" s="19"/>
      <c r="M39" s="740">
        <f ca="1">IF(M32&gt;0,-MIN(M37,M32),0)</f>
        <v>0</v>
      </c>
      <c r="N39" s="740">
        <f ca="1">IF(N32&gt;0,-MIN(N37,N32),0)</f>
        <v>-416.87314180425602</v>
      </c>
      <c r="O39" s="740">
        <f ca="1">IF(O32&gt;0,-MIN(O37,O32),0)</f>
        <v>-76.973809797179996</v>
      </c>
      <c r="P39" s="740">
        <f ca="1">IF(P32&gt;0,-MIN(P37,P32),0)</f>
        <v>-164.12176299004079</v>
      </c>
      <c r="Q39" s="740">
        <f ca="1">IF(Q32&gt;0,-MIN(Q37,Q32),0)</f>
        <v>-225.99810283825741</v>
      </c>
      <c r="R39" s="740"/>
    </row>
    <row r="40" spans="1:22" ht="16">
      <c r="A40" s="718"/>
      <c r="B40" s="718"/>
      <c r="C40" s="717" t="s">
        <v>369</v>
      </c>
      <c r="D40" s="718"/>
      <c r="E40" s="718"/>
      <c r="F40" s="718"/>
      <c r="H40" s="19"/>
      <c r="I40" s="19"/>
      <c r="J40" s="19"/>
      <c r="K40" s="19"/>
      <c r="L40" s="19"/>
      <c r="M40" s="740">
        <f ca="1">IF($G$35*M$24&lt;SUM(M37:M39),0,$G$35*M$24-SUM(M37:M39))</f>
        <v>0</v>
      </c>
      <c r="N40" s="740">
        <f ca="1">IF($G$35*N$24&lt;SUM(N37:N39),0,$G$35*N$24-SUM(N37:N39))</f>
        <v>76.973809797179996</v>
      </c>
      <c r="O40" s="740">
        <f ca="1">IF($G$35*O$24&lt;SUM(O37:O39),0,$G$35*O$24-SUM(O37:O39))</f>
        <v>164.12176299004079</v>
      </c>
      <c r="P40" s="740">
        <f ca="1">IF($G$35*P$24&lt;SUM(P37:P39),0,$G$35*P$24-SUM(P37:P39))</f>
        <v>225.99810283825741</v>
      </c>
      <c r="Q40" s="740">
        <f ca="1">IF($G$35*Q$24&lt;SUM(Q37:Q39),0,$G$35*Q$24-SUM(Q37:Q39))</f>
        <v>254.37124731819591</v>
      </c>
    </row>
    <row r="41" spans="1:22" s="36" customFormat="1" ht="16">
      <c r="A41" s="20"/>
      <c r="B41" s="20"/>
      <c r="C41" s="14" t="s">
        <v>370</v>
      </c>
      <c r="D41" s="34"/>
      <c r="E41" s="34"/>
      <c r="F41" s="34"/>
      <c r="G41" s="34"/>
      <c r="H41" s="744"/>
      <c r="I41" s="744"/>
      <c r="J41" s="744"/>
      <c r="K41" s="744"/>
      <c r="L41" s="744"/>
      <c r="M41" s="35">
        <f ca="1">SUM(M37:M40)</f>
        <v>416.87314180425602</v>
      </c>
      <c r="N41" s="35">
        <f ca="1">SUM(N37:N40)</f>
        <v>76.973809797179996</v>
      </c>
      <c r="O41" s="35">
        <f ca="1">SUM(O37:O40)</f>
        <v>164.12176299004079</v>
      </c>
      <c r="P41" s="35">
        <f ca="1">SUM(P37:P40)</f>
        <v>225.99810283825741</v>
      </c>
      <c r="Q41" s="296">
        <f ca="1">SUM(Q37:Q40)</f>
        <v>254.37124731819591</v>
      </c>
    </row>
    <row r="42" spans="1:22" s="38" customFormat="1" ht="16">
      <c r="A42" s="37"/>
      <c r="B42" s="37"/>
      <c r="C42" s="37"/>
      <c r="D42" s="37"/>
      <c r="E42" s="37"/>
      <c r="F42" s="37"/>
      <c r="G42" s="37"/>
      <c r="H42" s="37"/>
      <c r="I42" s="37"/>
      <c r="J42" s="37"/>
      <c r="K42" s="37"/>
      <c r="L42" s="37"/>
      <c r="M42" s="37"/>
      <c r="N42" s="37"/>
      <c r="O42" s="37"/>
      <c r="P42" s="37"/>
      <c r="Q42" s="37"/>
    </row>
    <row r="43" spans="1:22" ht="16">
      <c r="A43" s="718"/>
      <c r="B43" s="718"/>
      <c r="C43" s="393" t="s">
        <v>371</v>
      </c>
      <c r="D43" s="393"/>
      <c r="E43" s="393"/>
      <c r="F43" s="393"/>
      <c r="G43" s="393"/>
      <c r="H43" s="394"/>
      <c r="I43" s="394"/>
      <c r="J43" s="394"/>
      <c r="K43" s="394"/>
      <c r="L43" s="394"/>
      <c r="M43" s="395"/>
      <c r="N43" s="395"/>
      <c r="O43" s="395"/>
      <c r="P43" s="395"/>
      <c r="Q43" s="395"/>
      <c r="R43" s="180"/>
    </row>
    <row r="44" spans="1:22" ht="16">
      <c r="A44" s="718"/>
      <c r="B44" s="718"/>
      <c r="C44" s="25"/>
      <c r="D44" s="1"/>
      <c r="E44" s="1"/>
      <c r="F44" s="1"/>
      <c r="G44" s="1"/>
      <c r="H44" s="1"/>
      <c r="I44" s="1"/>
      <c r="J44" s="1"/>
      <c r="K44" s="1"/>
      <c r="L44" s="1"/>
      <c r="M44" s="1"/>
      <c r="N44" s="1"/>
      <c r="O44" s="1"/>
      <c r="P44" s="1"/>
      <c r="Q44" s="1"/>
    </row>
    <row r="45" spans="1:22" ht="16">
      <c r="A45" s="718"/>
      <c r="B45" s="718"/>
      <c r="C45" s="173" t="s">
        <v>372</v>
      </c>
      <c r="D45" s="173"/>
      <c r="E45" s="173"/>
      <c r="F45" s="173"/>
      <c r="G45" s="173"/>
      <c r="H45" s="174"/>
      <c r="I45" s="174"/>
      <c r="J45" s="174"/>
      <c r="K45" s="174"/>
      <c r="L45" s="174"/>
      <c r="M45" s="175"/>
      <c r="N45" s="175"/>
      <c r="O45" s="175"/>
      <c r="P45" s="175"/>
      <c r="Q45" s="175"/>
      <c r="R45" s="180"/>
    </row>
    <row r="46" spans="1:22" ht="16">
      <c r="A46" s="718"/>
      <c r="B46" s="718"/>
      <c r="C46" s="25"/>
      <c r="D46" s="1"/>
      <c r="E46" s="1"/>
      <c r="F46" s="1"/>
      <c r="G46" s="1"/>
      <c r="H46" s="1"/>
      <c r="I46" s="1"/>
      <c r="J46" s="1"/>
      <c r="K46" s="1"/>
      <c r="L46" s="1"/>
      <c r="M46" s="1"/>
      <c r="N46" s="1"/>
      <c r="O46" s="1"/>
      <c r="P46" s="1"/>
      <c r="Q46" s="1"/>
    </row>
    <row r="47" spans="1:22" ht="16">
      <c r="A47" s="718"/>
      <c r="B47" s="718"/>
      <c r="C47" s="33" t="s">
        <v>373</v>
      </c>
      <c r="D47" s="1"/>
      <c r="E47" s="39" t="s">
        <v>374</v>
      </c>
      <c r="F47" s="39" t="s">
        <v>375</v>
      </c>
      <c r="G47" s="39" t="s">
        <v>376</v>
      </c>
      <c r="H47" s="1"/>
      <c r="I47" s="1"/>
      <c r="J47" s="1"/>
      <c r="K47" s="1"/>
      <c r="L47" s="1"/>
      <c r="M47" s="1"/>
      <c r="N47" s="1"/>
      <c r="O47" s="1"/>
      <c r="P47" s="1"/>
      <c r="Q47" s="1"/>
      <c r="R47" s="270"/>
    </row>
    <row r="48" spans="1:22" ht="16">
      <c r="A48" s="718"/>
      <c r="B48" s="718"/>
      <c r="C48" s="717" t="s">
        <v>377</v>
      </c>
      <c r="D48" s="1"/>
      <c r="E48" s="281">
        <f>L13</f>
        <v>316.89600000000002</v>
      </c>
      <c r="F48" s="282">
        <v>6.8000000000000005E-2</v>
      </c>
      <c r="G48" s="40">
        <v>25</v>
      </c>
      <c r="H48" s="745"/>
      <c r="I48" s="745"/>
      <c r="J48" s="745"/>
      <c r="K48" s="745"/>
      <c r="L48" s="745"/>
      <c r="M48" s="41">
        <f t="shared" ref="M48:R48" si="7">IF(M$6=$G$48,-E48,0)</f>
        <v>-316.89600000000002</v>
      </c>
      <c r="N48" s="41">
        <f t="shared" si="7"/>
        <v>0</v>
      </c>
      <c r="O48" s="41">
        <f t="shared" si="7"/>
        <v>0</v>
      </c>
      <c r="P48" s="41">
        <f t="shared" si="7"/>
        <v>0</v>
      </c>
      <c r="Q48" s="41">
        <f t="shared" si="7"/>
        <v>0</v>
      </c>
      <c r="R48" s="181">
        <f t="shared" si="7"/>
        <v>0</v>
      </c>
    </row>
    <row r="49" spans="1:19" ht="16">
      <c r="A49" s="718"/>
      <c r="B49" s="718"/>
      <c r="C49" s="718"/>
      <c r="D49" s="718"/>
      <c r="E49" s="746"/>
      <c r="F49" s="718"/>
      <c r="G49" s="747"/>
      <c r="H49" s="718"/>
      <c r="I49" s="718"/>
      <c r="J49" s="718"/>
      <c r="K49" s="718"/>
      <c r="L49" s="718"/>
      <c r="M49" s="740"/>
      <c r="N49" s="740"/>
      <c r="O49" s="740"/>
      <c r="P49" s="740"/>
      <c r="Q49" s="740"/>
      <c r="R49" s="270"/>
    </row>
    <row r="50" spans="1:19" ht="16">
      <c r="A50" s="718"/>
      <c r="B50" s="718"/>
      <c r="C50" s="42" t="s">
        <v>312</v>
      </c>
      <c r="D50" s="43"/>
      <c r="E50" s="44"/>
      <c r="F50" s="45"/>
      <c r="G50" s="46"/>
      <c r="H50" s="744"/>
      <c r="I50" s="744"/>
      <c r="J50" s="744"/>
      <c r="K50" s="744"/>
      <c r="L50" s="744"/>
      <c r="M50" s="15">
        <f t="shared" ref="M50:R50" si="8">SUM(M48)</f>
        <v>-316.89600000000002</v>
      </c>
      <c r="N50" s="15">
        <f t="shared" si="8"/>
        <v>0</v>
      </c>
      <c r="O50" s="15">
        <f t="shared" si="8"/>
        <v>0</v>
      </c>
      <c r="P50" s="15">
        <f t="shared" si="8"/>
        <v>0</v>
      </c>
      <c r="Q50" s="16">
        <f t="shared" si="8"/>
        <v>0</v>
      </c>
      <c r="R50" s="18">
        <f t="shared" si="8"/>
        <v>0</v>
      </c>
    </row>
    <row r="51" spans="1:19" ht="16">
      <c r="A51" s="718"/>
      <c r="B51" s="718"/>
      <c r="C51" s="25"/>
      <c r="D51" s="1"/>
      <c r="E51" s="1"/>
      <c r="F51" s="1"/>
      <c r="G51" s="1"/>
      <c r="H51" s="1"/>
      <c r="I51" s="1"/>
      <c r="J51" s="1"/>
      <c r="K51" s="1"/>
      <c r="L51" s="1"/>
      <c r="M51" s="29"/>
      <c r="N51" s="29"/>
      <c r="O51" s="29"/>
      <c r="P51" s="29"/>
      <c r="Q51" s="29"/>
      <c r="R51" s="270"/>
    </row>
    <row r="52" spans="1:19" ht="16">
      <c r="A52" s="718"/>
      <c r="B52" s="718"/>
      <c r="C52" s="173" t="s">
        <v>378</v>
      </c>
      <c r="D52" s="173"/>
      <c r="E52" s="173"/>
      <c r="F52" s="173"/>
      <c r="G52" s="173"/>
      <c r="H52" s="174"/>
      <c r="I52" s="174"/>
      <c r="J52" s="174"/>
      <c r="K52" s="174"/>
      <c r="L52" s="174"/>
      <c r="M52" s="271"/>
      <c r="N52" s="271"/>
      <c r="O52" s="271"/>
      <c r="P52" s="271"/>
      <c r="Q52" s="271"/>
      <c r="R52" s="272"/>
    </row>
    <row r="53" spans="1:19" ht="16">
      <c r="A53" s="718"/>
      <c r="B53" s="718"/>
      <c r="C53" s="25"/>
      <c r="D53" s="1"/>
      <c r="E53" s="47"/>
      <c r="F53" s="1"/>
      <c r="G53" s="1"/>
      <c r="H53" s="1"/>
      <c r="I53" s="1"/>
      <c r="J53" s="1"/>
      <c r="K53" s="1"/>
      <c r="L53" s="1"/>
      <c r="M53" s="29"/>
      <c r="N53" s="29"/>
      <c r="O53" s="29"/>
      <c r="P53" s="29"/>
      <c r="Q53" s="29"/>
      <c r="R53" s="270"/>
    </row>
    <row r="54" spans="1:19" ht="16">
      <c r="A54" s="718"/>
      <c r="B54" s="718"/>
      <c r="C54" s="33" t="s">
        <v>373</v>
      </c>
      <c r="D54" s="1"/>
      <c r="E54" s="39" t="s">
        <v>374</v>
      </c>
      <c r="F54" s="39" t="s">
        <v>375</v>
      </c>
      <c r="G54" s="39" t="s">
        <v>376</v>
      </c>
      <c r="H54" s="1"/>
      <c r="I54" s="1"/>
      <c r="J54" s="1"/>
      <c r="K54" s="1"/>
      <c r="L54" s="1"/>
      <c r="M54" s="29"/>
      <c r="N54" s="29"/>
      <c r="O54" s="29"/>
      <c r="P54" s="29"/>
      <c r="Q54" s="29"/>
      <c r="R54" s="270"/>
    </row>
    <row r="55" spans="1:19" ht="16">
      <c r="A55" s="718"/>
      <c r="B55" s="718"/>
      <c r="C55" s="717" t="s">
        <v>377</v>
      </c>
      <c r="D55" s="1"/>
      <c r="E55" s="281">
        <f>L13</f>
        <v>316.89600000000002</v>
      </c>
      <c r="F55" s="282">
        <v>6.8000000000000005E-2</v>
      </c>
      <c r="G55" s="40">
        <v>25</v>
      </c>
      <c r="H55" s="745"/>
      <c r="I55" s="745"/>
      <c r="J55" s="745"/>
      <c r="K55" s="745"/>
      <c r="L55" s="745"/>
      <c r="M55" s="41">
        <f>IF(M$6=$G$55,-$E$55*$F$55,0)</f>
        <v>-21.548928000000004</v>
      </c>
      <c r="N55" s="41">
        <f t="shared" ref="N55:Q55" si="9">IF(N$6=$G$55,-$E$55*$F$55,0)</f>
        <v>0</v>
      </c>
      <c r="O55" s="41">
        <f t="shared" si="9"/>
        <v>0</v>
      </c>
      <c r="P55" s="41">
        <f t="shared" si="9"/>
        <v>0</v>
      </c>
      <c r="Q55" s="41">
        <f t="shared" si="9"/>
        <v>0</v>
      </c>
      <c r="R55" s="270"/>
    </row>
    <row r="56" spans="1:19" ht="16">
      <c r="A56" s="718"/>
      <c r="B56" s="718"/>
      <c r="C56" s="718"/>
      <c r="D56" s="718"/>
      <c r="E56" s="746"/>
      <c r="F56" s="718"/>
      <c r="G56" s="747"/>
      <c r="H56" s="718"/>
      <c r="I56" s="718"/>
      <c r="J56" s="718"/>
      <c r="K56" s="718"/>
      <c r="L56" s="718"/>
      <c r="M56" s="740"/>
      <c r="N56" s="740"/>
      <c r="O56" s="740"/>
      <c r="P56" s="740"/>
      <c r="Q56" s="740"/>
      <c r="R56" s="270"/>
    </row>
    <row r="57" spans="1:19" ht="16">
      <c r="A57" s="718"/>
      <c r="B57" s="718"/>
      <c r="C57" s="25" t="s">
        <v>379</v>
      </c>
      <c r="D57" s="1"/>
      <c r="E57" s="39" t="s">
        <v>374</v>
      </c>
      <c r="F57" s="39" t="s">
        <v>380</v>
      </c>
      <c r="G57" s="39" t="s">
        <v>376</v>
      </c>
      <c r="H57" s="718"/>
      <c r="I57" s="718"/>
      <c r="J57" s="718"/>
      <c r="K57" s="718"/>
      <c r="L57" s="718"/>
      <c r="M57" s="41"/>
      <c r="N57" s="41"/>
      <c r="O57" s="41"/>
      <c r="P57" s="41"/>
      <c r="Q57" s="41"/>
      <c r="R57" s="270"/>
    </row>
    <row r="58" spans="1:19" ht="16">
      <c r="A58" s="718"/>
      <c r="B58" s="718"/>
      <c r="C58" s="48">
        <v>25</v>
      </c>
      <c r="D58" s="1"/>
      <c r="E58" s="748" cm="1">
        <f t="array" aca="1" ref="E58:E62" ca="1">TRANSPOSE(M41:Q41)</f>
        <v>416.87314180425602</v>
      </c>
      <c r="F58" s="282">
        <v>0.05</v>
      </c>
      <c r="G58" s="40">
        <f>C58+1</f>
        <v>26</v>
      </c>
      <c r="H58" s="745"/>
      <c r="I58" s="745"/>
      <c r="J58" s="745"/>
      <c r="K58" s="745"/>
      <c r="L58" s="745"/>
      <c r="M58" s="41">
        <f>IF(AND(M$9&gt;=$G58, M$9&lt;=$G58), -$E58*$F58,0)</f>
        <v>0</v>
      </c>
      <c r="N58" s="41">
        <f t="shared" ref="N58:Q58" ca="1" si="10">IF(AND(N$9&gt;=$G58, N$9&lt;=$G58), -$E58*$F58,0)</f>
        <v>-20.843657090212801</v>
      </c>
      <c r="O58" s="41">
        <f t="shared" si="10"/>
        <v>0</v>
      </c>
      <c r="P58" s="41">
        <f t="shared" si="10"/>
        <v>0</v>
      </c>
      <c r="Q58" s="41">
        <f t="shared" si="10"/>
        <v>0</v>
      </c>
      <c r="R58" s="270"/>
      <c r="S58" s="31"/>
    </row>
    <row r="59" spans="1:19" ht="16">
      <c r="A59" s="718"/>
      <c r="B59" s="718"/>
      <c r="C59" s="48">
        <v>26</v>
      </c>
      <c r="D59" s="1"/>
      <c r="E59" s="748">
        <f ca="1"/>
        <v>76.973809797179996</v>
      </c>
      <c r="F59" s="282">
        <v>0.05</v>
      </c>
      <c r="G59" s="40">
        <f t="shared" ref="G59:G62" si="11">C59+1</f>
        <v>27</v>
      </c>
      <c r="H59" s="745"/>
      <c r="I59" s="745"/>
      <c r="J59" s="745"/>
      <c r="K59" s="745"/>
      <c r="L59" s="745"/>
      <c r="M59" s="41">
        <f t="shared" ref="M59:Q62" si="12">IF(AND(M$9&gt;=$G59, M$9&lt;=$G59), -$E59*$F59,0)</f>
        <v>0</v>
      </c>
      <c r="N59" s="41">
        <f t="shared" si="12"/>
        <v>0</v>
      </c>
      <c r="O59" s="41">
        <f t="shared" ca="1" si="12"/>
        <v>-3.848690489859</v>
      </c>
      <c r="P59" s="41">
        <f t="shared" si="12"/>
        <v>0</v>
      </c>
      <c r="Q59" s="41">
        <f t="shared" si="12"/>
        <v>0</v>
      </c>
      <c r="R59" s="270"/>
      <c r="S59" s="32"/>
    </row>
    <row r="60" spans="1:19" ht="16">
      <c r="A60" s="718"/>
      <c r="B60" s="718"/>
      <c r="C60" s="48">
        <v>27</v>
      </c>
      <c r="D60" s="1"/>
      <c r="E60" s="748">
        <f ca="1"/>
        <v>164.12176299004079</v>
      </c>
      <c r="F60" s="282">
        <v>0.05</v>
      </c>
      <c r="G60" s="40">
        <f t="shared" si="11"/>
        <v>28</v>
      </c>
      <c r="H60" s="745"/>
      <c r="I60" s="745"/>
      <c r="J60" s="745"/>
      <c r="K60" s="745"/>
      <c r="L60" s="745"/>
      <c r="M60" s="41">
        <f t="shared" si="12"/>
        <v>0</v>
      </c>
      <c r="N60" s="41">
        <f t="shared" si="12"/>
        <v>0</v>
      </c>
      <c r="O60" s="41">
        <f t="shared" si="12"/>
        <v>0</v>
      </c>
      <c r="P60" s="41">
        <f t="shared" ca="1" si="12"/>
        <v>-8.2060881495020404</v>
      </c>
      <c r="Q60" s="41">
        <f t="shared" si="12"/>
        <v>0</v>
      </c>
      <c r="R60" s="270"/>
      <c r="S60" s="32"/>
    </row>
    <row r="61" spans="1:19" ht="16">
      <c r="A61" s="718"/>
      <c r="B61" s="718"/>
      <c r="C61" s="48">
        <v>28</v>
      </c>
      <c r="D61" s="1"/>
      <c r="E61" s="748">
        <f ca="1"/>
        <v>225.99810283825741</v>
      </c>
      <c r="F61" s="282">
        <v>0.05</v>
      </c>
      <c r="G61" s="40">
        <f t="shared" si="11"/>
        <v>29</v>
      </c>
      <c r="H61" s="745"/>
      <c r="I61" s="745"/>
      <c r="J61" s="745"/>
      <c r="K61" s="745"/>
      <c r="L61" s="745"/>
      <c r="M61" s="41">
        <f t="shared" si="12"/>
        <v>0</v>
      </c>
      <c r="N61" s="41">
        <f t="shared" si="12"/>
        <v>0</v>
      </c>
      <c r="O61" s="41">
        <f t="shared" si="12"/>
        <v>0</v>
      </c>
      <c r="P61" s="41">
        <f t="shared" si="12"/>
        <v>0</v>
      </c>
      <c r="Q61" s="41">
        <f t="shared" ca="1" si="12"/>
        <v>-11.299905141912872</v>
      </c>
      <c r="R61" s="270"/>
      <c r="S61" s="49"/>
    </row>
    <row r="62" spans="1:19" ht="16">
      <c r="A62" s="718"/>
      <c r="B62" s="718"/>
      <c r="C62" s="48">
        <v>29</v>
      </c>
      <c r="D62" s="1"/>
      <c r="E62" s="748">
        <f ca="1"/>
        <v>254.37124731819591</v>
      </c>
      <c r="F62" s="282">
        <v>0.05</v>
      </c>
      <c r="G62" s="40">
        <f t="shared" si="11"/>
        <v>30</v>
      </c>
      <c r="H62" s="745"/>
      <c r="I62" s="745"/>
      <c r="J62" s="745"/>
      <c r="K62" s="745"/>
      <c r="L62" s="745"/>
      <c r="M62" s="41">
        <f t="shared" si="12"/>
        <v>0</v>
      </c>
      <c r="N62" s="41">
        <f t="shared" si="12"/>
        <v>0</v>
      </c>
      <c r="O62" s="41">
        <f t="shared" si="12"/>
        <v>0</v>
      </c>
      <c r="P62" s="41">
        <f t="shared" si="12"/>
        <v>0</v>
      </c>
      <c r="Q62" s="41">
        <f t="shared" si="12"/>
        <v>0</v>
      </c>
      <c r="R62" s="270"/>
      <c r="S62" s="32"/>
    </row>
    <row r="63" spans="1:19" ht="16">
      <c r="A63" s="718"/>
      <c r="B63" s="718"/>
      <c r="C63" s="718"/>
      <c r="D63" s="718"/>
      <c r="E63" s="718"/>
      <c r="F63" s="718"/>
      <c r="G63" s="718"/>
      <c r="H63" s="718"/>
      <c r="I63" s="718"/>
      <c r="J63" s="718"/>
      <c r="K63" s="718"/>
      <c r="L63" s="718"/>
      <c r="M63" s="740"/>
      <c r="N63" s="740"/>
      <c r="O63" s="740"/>
      <c r="P63" s="740"/>
      <c r="Q63" s="740"/>
      <c r="R63" s="270"/>
    </row>
    <row r="64" spans="1:19" ht="16">
      <c r="A64" s="718"/>
      <c r="B64" s="718"/>
      <c r="C64" s="42" t="s">
        <v>381</v>
      </c>
      <c r="D64" s="43"/>
      <c r="E64" s="44"/>
      <c r="F64" s="45"/>
      <c r="G64" s="46"/>
      <c r="H64" s="744"/>
      <c r="I64" s="744"/>
      <c r="J64" s="744"/>
      <c r="K64" s="744"/>
      <c r="L64" s="744"/>
      <c r="M64" s="15">
        <f>SUM(M55,M58:M62)</f>
        <v>-21.548928000000004</v>
      </c>
      <c r="N64" s="15">
        <f t="shared" ref="N64:Q64" ca="1" si="13">SUM(N55,N58:N62)</f>
        <v>-20.843657090212801</v>
      </c>
      <c r="O64" s="15">
        <f t="shared" ca="1" si="13"/>
        <v>-3.848690489859</v>
      </c>
      <c r="P64" s="15">
        <f t="shared" ca="1" si="13"/>
        <v>-8.2060881495020404</v>
      </c>
      <c r="Q64" s="15">
        <f t="shared" ca="1" si="13"/>
        <v>-11.299905141912872</v>
      </c>
      <c r="R64" s="270"/>
    </row>
    <row r="65" spans="1:17" ht="16">
      <c r="A65" s="718"/>
      <c r="B65" s="718"/>
      <c r="C65" s="718"/>
      <c r="D65" s="718"/>
      <c r="E65" s="718"/>
      <c r="F65" s="718"/>
      <c r="G65" s="718"/>
      <c r="H65" s="718"/>
      <c r="I65" s="718"/>
      <c r="J65" s="718"/>
      <c r="K65" s="718"/>
      <c r="L65" s="718"/>
      <c r="M65" s="718"/>
      <c r="N65" s="718"/>
      <c r="O65" s="718"/>
      <c r="P65" s="718"/>
      <c r="Q65" s="718"/>
    </row>
    <row r="66" spans="1:17" ht="16">
      <c r="A66" s="389">
        <v>2</v>
      </c>
      <c r="B66" s="718"/>
      <c r="C66" s="390" t="s">
        <v>382</v>
      </c>
      <c r="D66" s="390"/>
      <c r="E66" s="390"/>
      <c r="F66" s="390"/>
      <c r="G66" s="390"/>
      <c r="H66" s="390"/>
      <c r="I66" s="390"/>
      <c r="J66" s="390"/>
      <c r="K66" s="390"/>
      <c r="L66" s="390"/>
      <c r="M66" s="390"/>
      <c r="N66" s="390"/>
      <c r="O66" s="390"/>
      <c r="P66" s="390"/>
      <c r="Q66" s="390"/>
    </row>
    <row r="67" spans="1:17" ht="16">
      <c r="A67" s="718"/>
      <c r="B67" s="718"/>
      <c r="C67" s="718"/>
      <c r="D67" s="718"/>
      <c r="E67" s="718"/>
      <c r="F67" s="718"/>
      <c r="G67" s="718"/>
      <c r="H67" s="718"/>
      <c r="I67" s="718"/>
      <c r="J67" s="718"/>
      <c r="K67" s="718"/>
      <c r="L67" s="718"/>
      <c r="M67" s="718"/>
      <c r="N67" s="718"/>
      <c r="O67" s="718"/>
      <c r="P67" s="718"/>
      <c r="Q67" s="718"/>
    </row>
    <row r="68" spans="1:17" ht="16">
      <c r="A68" s="718"/>
      <c r="B68" s="718"/>
      <c r="C68" s="396" t="s">
        <v>219</v>
      </c>
      <c r="D68" s="397"/>
      <c r="E68" s="398"/>
      <c r="F68" s="399"/>
      <c r="G68" s="396"/>
      <c r="H68" s="396"/>
      <c r="I68" s="396"/>
      <c r="J68" s="396"/>
      <c r="K68" s="396"/>
      <c r="L68" s="396"/>
      <c r="M68" s="396"/>
      <c r="N68" s="396"/>
      <c r="O68" s="396"/>
      <c r="P68" s="396"/>
      <c r="Q68" s="396"/>
    </row>
    <row r="69" spans="1:17" ht="16">
      <c r="A69" s="718"/>
      <c r="B69" s="718"/>
      <c r="C69" s="50" t="s">
        <v>383</v>
      </c>
      <c r="D69" s="3"/>
      <c r="E69" s="3"/>
      <c r="F69" s="3"/>
      <c r="G69" s="3"/>
      <c r="H69" s="749"/>
      <c r="I69" s="749"/>
      <c r="J69" s="749"/>
      <c r="K69" s="749"/>
      <c r="L69" s="749"/>
      <c r="M69" s="750">
        <f>L72</f>
        <v>-1561.7159999999999</v>
      </c>
      <c r="N69" s="750">
        <f t="shared" ref="N69:Q69" ca="1" si="14">M72</f>
        <v>-1601.1693877342209</v>
      </c>
      <c r="O69" s="750">
        <f t="shared" ca="1" si="14"/>
        <v>-1592.0085763480411</v>
      </c>
      <c r="P69" s="750">
        <f t="shared" ca="1" si="14"/>
        <v>-1301.9435404294118</v>
      </c>
      <c r="Q69" s="750">
        <f t="shared" ca="1" si="14"/>
        <v>-589.76459573139971</v>
      </c>
    </row>
    <row r="70" spans="1:17" ht="16">
      <c r="A70" s="718"/>
      <c r="B70" s="718"/>
      <c r="C70" s="50" t="s">
        <v>384</v>
      </c>
      <c r="D70" s="3"/>
      <c r="E70" s="3"/>
      <c r="F70" s="3"/>
      <c r="G70" s="3"/>
      <c r="H70" s="51">
        <f>'3FS'!E40</f>
        <v>-70.643000000000001</v>
      </c>
      <c r="I70" s="51">
        <f>'3FS'!F40</f>
        <v>-124.26599999999999</v>
      </c>
      <c r="J70" s="51">
        <f>'3FS'!G40</f>
        <v>-229.76699999999997</v>
      </c>
      <c r="K70" s="51">
        <f>'3FS'!H40</f>
        <v>-229.547</v>
      </c>
      <c r="L70" s="51">
        <f>'3FS'!I40</f>
        <v>-685.83699999999999</v>
      </c>
      <c r="M70" s="52">
        <f ca="1">'3FS'!J40</f>
        <v>-39.453387734220996</v>
      </c>
      <c r="N70" s="52">
        <f ca="1">'3FS'!K40</f>
        <v>9.160811386179855</v>
      </c>
      <c r="O70" s="52">
        <f ca="1">'3FS'!L40</f>
        <v>290.06503591862941</v>
      </c>
      <c r="P70" s="52">
        <f ca="1">'3FS'!M40</f>
        <v>712.17894469801206</v>
      </c>
      <c r="Q70" s="52">
        <f ca="1">'3FS'!N40</f>
        <v>1153.5992856590333</v>
      </c>
    </row>
    <row r="71" spans="1:17" ht="16">
      <c r="A71" s="718"/>
      <c r="B71" s="718"/>
      <c r="C71" s="50" t="s">
        <v>361</v>
      </c>
      <c r="D71" s="3"/>
      <c r="E71" s="3"/>
      <c r="F71" s="3"/>
      <c r="G71" s="3"/>
      <c r="H71" s="749"/>
      <c r="I71" s="749"/>
      <c r="J71" s="749"/>
      <c r="K71" s="749"/>
      <c r="L71" s="749"/>
      <c r="M71" s="53">
        <f ca="1">-M76</f>
        <v>0</v>
      </c>
      <c r="N71" s="53">
        <f ca="1">-N76</f>
        <v>0</v>
      </c>
      <c r="O71" s="53">
        <f ca="1">-O76</f>
        <v>0</v>
      </c>
      <c r="P71" s="53">
        <f ca="1">-P76</f>
        <v>0</v>
      </c>
      <c r="Q71" s="53">
        <f ca="1">-Q76</f>
        <v>0</v>
      </c>
    </row>
    <row r="72" spans="1:17" ht="16">
      <c r="A72" s="718"/>
      <c r="B72" s="718"/>
      <c r="C72" s="155" t="s">
        <v>385</v>
      </c>
      <c r="D72" s="54"/>
      <c r="E72" s="54"/>
      <c r="F72" s="54"/>
      <c r="G72" s="54"/>
      <c r="H72" s="55">
        <f>'3FS'!E91</f>
        <v>-292.31099999999998</v>
      </c>
      <c r="I72" s="55">
        <f>'3FS'!F91</f>
        <v>-416.52699999999999</v>
      </c>
      <c r="J72" s="55">
        <f>'3FS'!G91</f>
        <v>-646.34</v>
      </c>
      <c r="K72" s="55">
        <f>'3FS'!H91</f>
        <v>-875.846</v>
      </c>
      <c r="L72" s="55">
        <f>'3FS'!I91</f>
        <v>-1561.7159999999999</v>
      </c>
      <c r="M72" s="16">
        <f ca="1">SUM(M69:M71)</f>
        <v>-1601.1693877342209</v>
      </c>
      <c r="N72" s="16">
        <f ca="1">SUM(N69:N71)</f>
        <v>-1592.0085763480411</v>
      </c>
      <c r="O72" s="16">
        <f ca="1">SUM(O69:O71)</f>
        <v>-1301.9435404294118</v>
      </c>
      <c r="P72" s="16">
        <f ca="1">SUM(P69:P71)</f>
        <v>-589.76459573139971</v>
      </c>
      <c r="Q72" s="16">
        <f ca="1">SUM(Q69:Q71)</f>
        <v>563.83468992763358</v>
      </c>
    </row>
    <row r="73" spans="1:17" ht="16">
      <c r="A73" s="718"/>
      <c r="B73" s="718"/>
      <c r="C73" s="718"/>
      <c r="D73" s="718"/>
      <c r="E73" s="718"/>
      <c r="F73" s="718"/>
      <c r="G73" s="718"/>
      <c r="H73" s="740"/>
      <c r="I73" s="718"/>
      <c r="J73" s="718"/>
      <c r="K73" s="718"/>
      <c r="L73" s="718"/>
      <c r="M73" s="718"/>
      <c r="N73" s="718"/>
      <c r="O73" s="718"/>
      <c r="P73" s="718"/>
      <c r="Q73" s="718"/>
    </row>
    <row r="74" spans="1:17" ht="16">
      <c r="A74" s="718"/>
      <c r="B74" s="718"/>
      <c r="C74" s="176" t="s">
        <v>386</v>
      </c>
      <c r="D74" s="177"/>
      <c r="E74" s="178"/>
      <c r="F74" s="179"/>
      <c r="G74" s="176"/>
      <c r="H74" s="176"/>
      <c r="I74" s="176"/>
      <c r="J74" s="176"/>
      <c r="K74" s="176"/>
      <c r="L74" s="176"/>
      <c r="M74" s="176"/>
      <c r="N74" s="176"/>
      <c r="O74" s="176"/>
      <c r="P74" s="176"/>
      <c r="Q74" s="176"/>
    </row>
    <row r="75" spans="1:17" ht="16">
      <c r="A75" s="718"/>
      <c r="B75" s="718"/>
      <c r="C75" s="718"/>
      <c r="D75" s="718"/>
      <c r="E75" s="718"/>
      <c r="F75" s="718"/>
      <c r="G75" s="718"/>
      <c r="H75" s="718"/>
      <c r="I75" s="718"/>
      <c r="J75" s="718"/>
      <c r="K75" s="718"/>
      <c r="L75" s="718"/>
      <c r="M75" s="718"/>
      <c r="N75" s="718"/>
      <c r="O75" s="718"/>
      <c r="P75" s="718"/>
      <c r="Q75" s="718"/>
    </row>
    <row r="76" spans="1:17" ht="16">
      <c r="A76" s="20"/>
      <c r="B76" s="20"/>
      <c r="C76" s="20" t="s">
        <v>387</v>
      </c>
      <c r="D76" s="20"/>
      <c r="E76" s="20"/>
      <c r="F76" s="20"/>
      <c r="G76" s="20"/>
      <c r="H76" s="273"/>
      <c r="I76" s="273"/>
      <c r="J76" s="273"/>
      <c r="K76" s="273"/>
      <c r="L76" s="273"/>
      <c r="M76" s="274">
        <f ca="1">M77*M78</f>
        <v>0</v>
      </c>
      <c r="N76" s="274">
        <f ca="1">N77*N78</f>
        <v>0</v>
      </c>
      <c r="O76" s="274">
        <f ca="1">O77*O78</f>
        <v>0</v>
      </c>
      <c r="P76" s="274">
        <f ca="1">P77*P78</f>
        <v>0</v>
      </c>
      <c r="Q76" s="274">
        <f ca="1">Q77*Q78</f>
        <v>0</v>
      </c>
    </row>
    <row r="77" spans="1:17" ht="16">
      <c r="A77" s="718"/>
      <c r="B77" s="718"/>
      <c r="C77" s="322" t="s">
        <v>388</v>
      </c>
      <c r="D77" s="751"/>
      <c r="E77" s="751"/>
      <c r="F77" s="751"/>
      <c r="G77" s="751"/>
      <c r="H77" s="323">
        <v>3740</v>
      </c>
      <c r="I77" s="323">
        <v>3840</v>
      </c>
      <c r="J77" s="323">
        <v>3930</v>
      </c>
      <c r="K77" s="323">
        <v>4070</v>
      </c>
      <c r="L77" s="323">
        <v>4037</v>
      </c>
      <c r="M77" s="53">
        <f>L77</f>
        <v>4037</v>
      </c>
      <c r="N77" s="53">
        <f>M77</f>
        <v>4037</v>
      </c>
      <c r="O77" s="53">
        <f>N77</f>
        <v>4037</v>
      </c>
      <c r="P77" s="53">
        <f>O77</f>
        <v>4037</v>
      </c>
      <c r="Q77" s="53">
        <f>P77</f>
        <v>4037</v>
      </c>
    </row>
    <row r="78" spans="1:17" ht="16">
      <c r="A78" s="718"/>
      <c r="B78" s="718"/>
      <c r="C78" s="56" t="s">
        <v>389</v>
      </c>
      <c r="D78" s="718"/>
      <c r="E78" s="718"/>
      <c r="F78" s="718"/>
      <c r="G78" s="718"/>
      <c r="H78" s="275">
        <v>0</v>
      </c>
      <c r="I78" s="275">
        <v>0</v>
      </c>
      <c r="J78" s="275">
        <v>0</v>
      </c>
      <c r="K78" s="275">
        <v>0</v>
      </c>
      <c r="L78" s="275">
        <v>0</v>
      </c>
      <c r="M78" s="275">
        <f ca="1">M79*M80</f>
        <v>0</v>
      </c>
      <c r="N78" s="275">
        <f ca="1">N79*N80</f>
        <v>0</v>
      </c>
      <c r="O78" s="275">
        <f ca="1">O79*O80</f>
        <v>0</v>
      </c>
      <c r="P78" s="275">
        <f ca="1">P79*P80</f>
        <v>0</v>
      </c>
      <c r="Q78" s="275">
        <f ca="1">Q79*Q80</f>
        <v>0</v>
      </c>
    </row>
    <row r="79" spans="1:17" ht="16">
      <c r="A79" s="718"/>
      <c r="B79" s="718"/>
      <c r="C79" s="56" t="s">
        <v>390</v>
      </c>
      <c r="D79" s="718"/>
      <c r="E79" s="718"/>
      <c r="F79" s="718"/>
      <c r="G79" s="718"/>
      <c r="H79" s="276">
        <f t="shared" ref="H79:Q79" si="15">H70/H77</f>
        <v>-1.8888502673796791E-2</v>
      </c>
      <c r="I79" s="276">
        <f t="shared" si="15"/>
        <v>-3.2360937499999999E-2</v>
      </c>
      <c r="J79" s="276">
        <f t="shared" si="15"/>
        <v>-5.84648854961832E-2</v>
      </c>
      <c r="K79" s="276">
        <f t="shared" si="15"/>
        <v>-5.6399754299754301E-2</v>
      </c>
      <c r="L79" s="276">
        <f t="shared" si="15"/>
        <v>-0.16988778796135745</v>
      </c>
      <c r="M79" s="276">
        <f t="shared" ca="1" si="15"/>
        <v>-9.7729471722122849E-3</v>
      </c>
      <c r="N79" s="276">
        <f t="shared" ca="1" si="15"/>
        <v>2.2692126297200531E-3</v>
      </c>
      <c r="O79" s="276">
        <f t="shared" ca="1" si="15"/>
        <v>7.1851631389306267E-2</v>
      </c>
      <c r="P79" s="276">
        <f t="shared" ca="1" si="15"/>
        <v>0.17641291669507358</v>
      </c>
      <c r="Q79" s="276">
        <f t="shared" ca="1" si="15"/>
        <v>0.28575657311345881</v>
      </c>
    </row>
    <row r="80" spans="1:17" ht="16">
      <c r="A80" s="718"/>
      <c r="B80" s="718"/>
      <c r="C80" s="56" t="s">
        <v>391</v>
      </c>
      <c r="D80" s="718"/>
      <c r="E80" s="718"/>
      <c r="F80" s="718"/>
      <c r="G80" s="718"/>
      <c r="H80" s="276">
        <v>0</v>
      </c>
      <c r="I80" s="276">
        <v>0</v>
      </c>
      <c r="J80" s="276">
        <v>0</v>
      </c>
      <c r="K80" s="276">
        <v>0</v>
      </c>
      <c r="L80" s="276">
        <v>0</v>
      </c>
      <c r="M80" s="53">
        <f>AVERAGE(H80:L80)</f>
        <v>0</v>
      </c>
      <c r="N80" s="53">
        <f>M80</f>
        <v>0</v>
      </c>
      <c r="O80" s="53">
        <f>N80</f>
        <v>0</v>
      </c>
      <c r="P80" s="53">
        <f>O80</f>
        <v>0</v>
      </c>
      <c r="Q80" s="53">
        <f>P80</f>
        <v>0</v>
      </c>
    </row>
    <row r="82" spans="3:17" ht="16">
      <c r="C82" s="396" t="s">
        <v>342</v>
      </c>
      <c r="D82" s="397"/>
      <c r="E82" s="398"/>
      <c r="F82" s="399"/>
      <c r="G82" s="396"/>
      <c r="H82" s="400"/>
      <c r="I82" s="400"/>
      <c r="J82" s="400"/>
      <c r="K82" s="400"/>
      <c r="L82" s="400"/>
      <c r="M82" s="396"/>
      <c r="N82" s="396"/>
      <c r="O82" s="396"/>
      <c r="P82" s="396"/>
      <c r="Q82" s="396"/>
    </row>
    <row r="83" spans="3:17" ht="16">
      <c r="C83" s="3"/>
      <c r="D83" s="3"/>
      <c r="E83" s="3"/>
      <c r="F83" s="3"/>
      <c r="G83" s="3"/>
      <c r="H83" s="152"/>
      <c r="I83" s="152"/>
      <c r="J83" s="152"/>
      <c r="K83" s="152"/>
      <c r="L83" s="152"/>
      <c r="M83" s="752"/>
      <c r="N83" s="752"/>
      <c r="O83" s="752"/>
      <c r="P83" s="752"/>
      <c r="Q83" s="752"/>
    </row>
    <row r="84" spans="3:17" ht="16">
      <c r="C84" s="154" t="s">
        <v>392</v>
      </c>
      <c r="D84" s="154"/>
      <c r="E84" s="154"/>
      <c r="F84" s="154"/>
      <c r="G84" s="154"/>
      <c r="H84" s="277"/>
      <c r="I84" s="277">
        <f t="shared" ref="I84:Q84" si="16">H87</f>
        <v>395.49099999999999</v>
      </c>
      <c r="J84" s="277">
        <f t="shared" si="16"/>
        <v>448.96899999999999</v>
      </c>
      <c r="K84" s="277">
        <f t="shared" si="16"/>
        <v>513.61400000000003</v>
      </c>
      <c r="L84" s="277">
        <f t="shared" si="16"/>
        <v>765.01800000000003</v>
      </c>
      <c r="M84" s="297">
        <f t="shared" si="16"/>
        <v>534.726</v>
      </c>
      <c r="N84" s="297">
        <f t="shared" si="16"/>
        <v>669.35930330506585</v>
      </c>
      <c r="O84" s="297">
        <f t="shared" si="16"/>
        <v>1261.7364135161242</v>
      </c>
      <c r="P84" s="297">
        <f t="shared" si="16"/>
        <v>2524.7890795977037</v>
      </c>
      <c r="Q84" s="297">
        <f t="shared" si="16"/>
        <v>4264.031341676995</v>
      </c>
    </row>
    <row r="85" spans="3:17" ht="16">
      <c r="C85" s="3" t="s">
        <v>393</v>
      </c>
      <c r="D85" s="3"/>
      <c r="E85" s="3"/>
      <c r="F85" s="3"/>
      <c r="G85" s="3"/>
      <c r="H85" s="278">
        <f>'3FS'!E108</f>
        <v>5.0810000000000004</v>
      </c>
      <c r="I85" s="278">
        <f>'3FS'!F108</f>
        <v>15.058</v>
      </c>
      <c r="J85" s="278">
        <f>'3FS'!G108</f>
        <v>13.794</v>
      </c>
      <c r="K85" s="278">
        <f>'3FS'!H108</f>
        <v>14.057</v>
      </c>
      <c r="L85" s="278">
        <f>'3FS'!I108</f>
        <v>18.78</v>
      </c>
      <c r="M85" s="52">
        <f>'3FS'!J108</f>
        <v>134.63330330506585</v>
      </c>
      <c r="N85" s="52">
        <f>'3FS'!K108</f>
        <v>592.37711021105827</v>
      </c>
      <c r="O85" s="52">
        <f>'3FS'!L108</f>
        <v>1263.0526660815792</v>
      </c>
      <c r="P85" s="52">
        <f>'3FS'!M108</f>
        <v>1739.2422620792918</v>
      </c>
      <c r="Q85" s="52">
        <f>'3FS'!N108</f>
        <v>1957.5970684597157</v>
      </c>
    </row>
    <row r="86" spans="3:17" ht="16">
      <c r="C86" s="3" t="s">
        <v>394</v>
      </c>
      <c r="D86" s="151"/>
      <c r="E86" s="151"/>
      <c r="F86" s="151"/>
      <c r="G86" s="151"/>
      <c r="H86" s="279">
        <f>'3FS'!E137</f>
        <v>0</v>
      </c>
      <c r="I86" s="279">
        <f>'3FS'!F137</f>
        <v>0</v>
      </c>
      <c r="J86" s="279">
        <f>'3FS'!G137</f>
        <v>0</v>
      </c>
      <c r="K86" s="279">
        <f>'3FS'!H137</f>
        <v>0</v>
      </c>
      <c r="L86" s="279">
        <f>'3FS'!I137</f>
        <v>0</v>
      </c>
      <c r="M86" s="753">
        <v>0</v>
      </c>
      <c r="N86" s="753">
        <v>0</v>
      </c>
      <c r="O86" s="753">
        <v>0</v>
      </c>
      <c r="P86" s="753">
        <v>0</v>
      </c>
      <c r="Q86" s="753">
        <v>0</v>
      </c>
    </row>
    <row r="87" spans="3:17" ht="16">
      <c r="C87" s="43" t="s">
        <v>395</v>
      </c>
      <c r="D87" s="153"/>
      <c r="E87" s="153"/>
      <c r="F87" s="153"/>
      <c r="G87" s="153"/>
      <c r="H87" s="280">
        <f>'3FS'!E90</f>
        <v>395.49099999999999</v>
      </c>
      <c r="I87" s="280">
        <f>'3FS'!F90</f>
        <v>448.96899999999999</v>
      </c>
      <c r="J87" s="280">
        <f>'3FS'!G90</f>
        <v>513.61400000000003</v>
      </c>
      <c r="K87" s="280">
        <f>'3FS'!H90</f>
        <v>765.01800000000003</v>
      </c>
      <c r="L87" s="280">
        <f>'3FS'!I90</f>
        <v>534.726</v>
      </c>
      <c r="M87" s="754">
        <f t="shared" ref="M87:Q87" si="17">SUM(M84:M86)</f>
        <v>669.35930330506585</v>
      </c>
      <c r="N87" s="754">
        <f t="shared" si="17"/>
        <v>1261.7364135161242</v>
      </c>
      <c r="O87" s="754">
        <f t="shared" si="17"/>
        <v>2524.7890795977037</v>
      </c>
      <c r="P87" s="754">
        <f t="shared" si="17"/>
        <v>4264.031341676995</v>
      </c>
      <c r="Q87" s="754">
        <f t="shared" si="17"/>
        <v>6221.628410136711</v>
      </c>
    </row>
    <row r="105" spans="3:3">
      <c r="C105" s="146"/>
    </row>
    <row r="107" spans="3:3">
      <c r="C107" s="146"/>
    </row>
    <row r="108" spans="3:3">
      <c r="C108" s="146"/>
    </row>
    <row r="109" spans="3:3">
      <c r="C109" s="146"/>
    </row>
    <row r="110" spans="3:3">
      <c r="C110" s="146"/>
    </row>
    <row r="111" spans="3:3">
      <c r="C111" s="146"/>
    </row>
    <row r="112" spans="3:3">
      <c r="C112" s="146"/>
    </row>
    <row r="113" spans="3:3">
      <c r="C113" s="146"/>
    </row>
    <row r="114" spans="3:3">
      <c r="C114" s="146"/>
    </row>
    <row r="115" spans="3:3">
      <c r="C115" s="146"/>
    </row>
    <row r="116" spans="3:3">
      <c r="C116" s="146"/>
    </row>
    <row r="117" spans="3:3">
      <c r="C117" s="146"/>
    </row>
    <row r="119" spans="3:3">
      <c r="C119" s="146"/>
    </row>
    <row r="120" spans="3:3">
      <c r="C120" s="146"/>
    </row>
    <row r="121" spans="3:3">
      <c r="C121" s="146"/>
    </row>
    <row r="122" spans="3:3">
      <c r="C122" s="146"/>
    </row>
    <row r="123" spans="3:3">
      <c r="C123" s="146"/>
    </row>
    <row r="124" spans="3:3">
      <c r="C124" s="146"/>
    </row>
    <row r="125" spans="3:3">
      <c r="C125" s="146"/>
    </row>
    <row r="126" spans="3:3">
      <c r="C126" s="146"/>
    </row>
    <row r="130" spans="3:3">
      <c r="C130" s="146"/>
    </row>
    <row r="131" spans="3:3">
      <c r="C131" s="146"/>
    </row>
    <row r="132" spans="3:3">
      <c r="C132" s="146"/>
    </row>
    <row r="133" spans="3:3">
      <c r="C133" s="146"/>
    </row>
    <row r="134" spans="3:3">
      <c r="C134" s="146"/>
    </row>
    <row r="135" spans="3:3">
      <c r="C135" s="146"/>
    </row>
    <row r="136" spans="3:3">
      <c r="C136" s="146"/>
    </row>
    <row r="137" spans="3:3">
      <c r="C137" s="146"/>
    </row>
  </sheetData>
  <mergeCells count="2">
    <mergeCell ref="G5:K5"/>
    <mergeCell ref="L5:P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0DC79-E11B-F34E-AF17-96CEB13194AA}">
  <dimension ref="B1:R176"/>
  <sheetViews>
    <sheetView showGridLines="0" topLeftCell="A7" zoomScale="92" zoomScaleNormal="90" workbookViewId="0">
      <selection activeCell="O30" sqref="O30"/>
    </sheetView>
  </sheetViews>
  <sheetFormatPr baseColWidth="10" defaultColWidth="10.6640625" defaultRowHeight="16"/>
  <cols>
    <col min="1" max="3" width="1.6640625" style="186" customWidth="1"/>
    <col min="4" max="4" width="57" style="186" customWidth="1"/>
    <col min="5" max="7" width="10.6640625" style="186"/>
    <col min="8" max="8" width="12" style="186" bestFit="1" customWidth="1"/>
    <col min="9" max="12" width="10.6640625" style="186"/>
    <col min="13" max="13" width="12" style="186" bestFit="1" customWidth="1"/>
    <col min="14" max="15" width="10.6640625" style="186"/>
    <col min="16" max="17" width="10.6640625" style="186" customWidth="1"/>
    <col min="18" max="16384" width="10.6640625" style="186"/>
  </cols>
  <sheetData>
    <row r="1" spans="2:17" ht="24">
      <c r="B1" s="185"/>
      <c r="C1" s="185"/>
      <c r="D1" s="387" t="s">
        <v>32</v>
      </c>
      <c r="E1" s="401"/>
      <c r="F1" s="401"/>
      <c r="G1" s="401"/>
      <c r="H1" s="401"/>
      <c r="I1" s="401"/>
      <c r="J1" s="401"/>
      <c r="K1" s="401"/>
      <c r="L1" s="401"/>
      <c r="M1" s="401"/>
      <c r="N1" s="401"/>
      <c r="O1" s="401"/>
      <c r="P1" s="401"/>
      <c r="Q1" s="401"/>
    </row>
    <row r="2" spans="2:17">
      <c r="B2" s="185"/>
      <c r="C2" s="185"/>
      <c r="D2" s="369"/>
      <c r="E2" s="401"/>
      <c r="F2" s="401"/>
      <c r="G2" s="401"/>
      <c r="H2" s="401"/>
      <c r="I2" s="401"/>
      <c r="J2" s="401"/>
      <c r="K2" s="401"/>
      <c r="L2" s="401"/>
      <c r="M2" s="401"/>
      <c r="N2" s="401"/>
      <c r="O2" s="401"/>
      <c r="P2" s="401"/>
      <c r="Q2" s="401"/>
    </row>
    <row r="3" spans="2:17">
      <c r="B3" s="185"/>
      <c r="C3" s="185"/>
      <c r="D3" s="369" t="s">
        <v>33</v>
      </c>
      <c r="E3" s="401"/>
      <c r="F3" s="401"/>
      <c r="G3" s="401"/>
      <c r="H3" s="401"/>
      <c r="I3" s="401"/>
      <c r="J3" s="401"/>
      <c r="K3" s="401"/>
      <c r="L3" s="401"/>
      <c r="M3" s="401"/>
      <c r="N3" s="401"/>
      <c r="O3" s="401"/>
      <c r="P3" s="401"/>
      <c r="Q3" s="401"/>
    </row>
    <row r="4" spans="2:17">
      <c r="B4" s="185"/>
      <c r="C4" s="185"/>
      <c r="D4" s="369" t="s">
        <v>34</v>
      </c>
      <c r="E4" s="401" t="str">
        <f>Cover!C11</f>
        <v>Base Case</v>
      </c>
      <c r="F4" s="401"/>
      <c r="G4" s="401"/>
      <c r="H4" s="401"/>
      <c r="I4" s="401"/>
      <c r="J4" s="401"/>
      <c r="K4" s="401"/>
      <c r="L4" s="401"/>
      <c r="M4" s="401"/>
      <c r="N4" s="401"/>
      <c r="O4" s="401"/>
      <c r="P4" s="401"/>
      <c r="Q4" s="401"/>
    </row>
    <row r="5" spans="2:17">
      <c r="B5" s="185"/>
      <c r="C5" s="185"/>
      <c r="D5" s="369"/>
      <c r="E5" s="401"/>
      <c r="F5" s="401"/>
      <c r="G5" s="401"/>
      <c r="H5" s="787" t="s">
        <v>35</v>
      </c>
      <c r="I5" s="787"/>
      <c r="J5" s="787"/>
      <c r="K5" s="787"/>
      <c r="L5" s="787"/>
      <c r="M5" s="787" t="s">
        <v>36</v>
      </c>
      <c r="N5" s="787"/>
      <c r="O5" s="787"/>
      <c r="P5" s="787"/>
      <c r="Q5" s="787"/>
    </row>
    <row r="6" spans="2:17">
      <c r="B6" s="185"/>
      <c r="C6" s="185"/>
      <c r="D6" s="369" t="s">
        <v>37</v>
      </c>
      <c r="E6" s="401"/>
      <c r="F6" s="401"/>
      <c r="G6" s="401" t="s">
        <v>58</v>
      </c>
      <c r="H6" s="402">
        <v>20</v>
      </c>
      <c r="I6" s="402">
        <f t="shared" ref="I6:Q6" si="0">H6+1</f>
        <v>21</v>
      </c>
      <c r="J6" s="402">
        <f t="shared" si="0"/>
        <v>22</v>
      </c>
      <c r="K6" s="402">
        <f t="shared" si="0"/>
        <v>23</v>
      </c>
      <c r="L6" s="402">
        <f t="shared" si="0"/>
        <v>24</v>
      </c>
      <c r="M6" s="403">
        <f t="shared" si="0"/>
        <v>25</v>
      </c>
      <c r="N6" s="403">
        <f t="shared" si="0"/>
        <v>26</v>
      </c>
      <c r="O6" s="403">
        <f t="shared" si="0"/>
        <v>27</v>
      </c>
      <c r="P6" s="403">
        <f t="shared" si="0"/>
        <v>28</v>
      </c>
      <c r="Q6" s="403">
        <f t="shared" si="0"/>
        <v>29</v>
      </c>
    </row>
    <row r="8" spans="2:17">
      <c r="B8" s="187">
        <v>1</v>
      </c>
      <c r="C8" s="187"/>
      <c r="D8" s="404" t="s">
        <v>396</v>
      </c>
      <c r="E8" s="401"/>
      <c r="F8" s="401"/>
      <c r="G8" s="401"/>
      <c r="H8" s="401"/>
      <c r="I8" s="401"/>
      <c r="J8" s="401"/>
      <c r="K8" s="401"/>
      <c r="L8" s="401"/>
      <c r="M8" s="401"/>
      <c r="N8" s="401"/>
      <c r="O8" s="401"/>
      <c r="P8" s="401"/>
      <c r="Q8" s="401"/>
    </row>
    <row r="10" spans="2:17">
      <c r="D10" s="188" t="s">
        <v>397</v>
      </c>
      <c r="E10" s="189"/>
      <c r="F10" s="189"/>
      <c r="G10" s="190" t="s">
        <v>398</v>
      </c>
      <c r="H10" s="261">
        <f>'3FS'!E59</f>
        <v>5.6529999999999996</v>
      </c>
      <c r="I10" s="261">
        <f>'3FS'!F59</f>
        <v>16.358000000000001</v>
      </c>
      <c r="J10" s="261">
        <f>'3FS'!G59</f>
        <v>31.484999999999999</v>
      </c>
      <c r="K10" s="261">
        <f>'3FS'!H59</f>
        <v>41.887999999999998</v>
      </c>
      <c r="L10" s="261">
        <f>'3FS'!I59</f>
        <v>48.569000000000003</v>
      </c>
      <c r="M10" s="262">
        <f ca="1">SUM(M42,M69)</f>
        <v>68.435749625151374</v>
      </c>
      <c r="N10" s="262">
        <f ca="1">SUM(N42,N69)</f>
        <v>127.50238616177896</v>
      </c>
      <c r="O10" s="262">
        <f ca="1">SUM(O42,O69)</f>
        <v>244.54775841460614</v>
      </c>
      <c r="P10" s="262">
        <f ca="1">SUM(P42,P69)</f>
        <v>460.98096653144972</v>
      </c>
      <c r="Q10" s="262">
        <f ca="1">SUM(Q42,Q69)</f>
        <v>861.03025288709591</v>
      </c>
    </row>
    <row r="11" spans="2:17">
      <c r="D11" s="186" t="s">
        <v>161</v>
      </c>
      <c r="G11" s="191" t="s">
        <v>60</v>
      </c>
      <c r="H11" s="192"/>
      <c r="I11" s="193">
        <f t="shared" ref="I11:Q11" si="1">I10/H10-1</f>
        <v>1.8936847691491248</v>
      </c>
      <c r="J11" s="193">
        <f t="shared" si="1"/>
        <v>0.92474630150385129</v>
      </c>
      <c r="K11" s="193">
        <f t="shared" si="1"/>
        <v>0.33041130697157373</v>
      </c>
      <c r="L11" s="193">
        <f t="shared" si="1"/>
        <v>0.15949675324675328</v>
      </c>
      <c r="M11" s="193">
        <f t="shared" ca="1" si="1"/>
        <v>0.40904176790033508</v>
      </c>
      <c r="N11" s="193">
        <f t="shared" ca="1" si="1"/>
        <v>0.86309621594207719</v>
      </c>
      <c r="O11" s="193">
        <f t="shared" ca="1" si="1"/>
        <v>0.91798573953209317</v>
      </c>
      <c r="P11" s="193">
        <f t="shared" ca="1" si="1"/>
        <v>0.88503452053689591</v>
      </c>
      <c r="Q11" s="193">
        <f t="shared" ca="1" si="1"/>
        <v>0.86782170067829356</v>
      </c>
    </row>
    <row r="12" spans="2:17">
      <c r="G12" s="191"/>
      <c r="H12" s="192"/>
      <c r="I12" s="193"/>
      <c r="J12" s="193"/>
      <c r="K12" s="193"/>
      <c r="L12" s="193"/>
      <c r="M12" s="193"/>
      <c r="N12" s="193"/>
      <c r="O12" s="193"/>
      <c r="P12" s="193"/>
      <c r="Q12" s="193"/>
    </row>
    <row r="13" spans="2:17">
      <c r="B13" s="186" t="s">
        <v>64</v>
      </c>
      <c r="D13" s="405" t="s">
        <v>23</v>
      </c>
      <c r="E13" s="406"/>
      <c r="F13" s="407"/>
      <c r="G13" s="408"/>
      <c r="H13" s="409"/>
      <c r="I13" s="406"/>
      <c r="J13" s="410"/>
      <c r="K13" s="406"/>
      <c r="L13" s="406"/>
      <c r="M13" s="406"/>
      <c r="N13" s="406"/>
      <c r="O13" s="406"/>
      <c r="P13" s="406"/>
      <c r="Q13" s="406"/>
    </row>
    <row r="14" spans="2:17">
      <c r="M14" s="194"/>
    </row>
    <row r="15" spans="2:17" ht="19">
      <c r="D15" s="195" t="s">
        <v>399</v>
      </c>
      <c r="E15" s="196" t="s">
        <v>400</v>
      </c>
      <c r="F15" s="196" t="s">
        <v>401</v>
      </c>
      <c r="G15" s="196" t="s">
        <v>144</v>
      </c>
      <c r="H15" s="197"/>
      <c r="I15" s="197"/>
      <c r="J15" s="197"/>
      <c r="K15" s="197"/>
      <c r="L15" s="197"/>
      <c r="M15" s="198"/>
      <c r="N15" s="198"/>
      <c r="O15" s="198"/>
      <c r="P15" s="198"/>
      <c r="Q15" s="198"/>
    </row>
    <row r="16" spans="2:17">
      <c r="D16" s="199" t="s">
        <v>402</v>
      </c>
      <c r="E16" s="200">
        <v>5</v>
      </c>
      <c r="F16" s="200">
        <v>5</v>
      </c>
      <c r="G16" s="201">
        <f t="shared" ref="G16" si="2">ROUNDUP(AVERAGE(E16:F16),0)</f>
        <v>5</v>
      </c>
      <c r="H16" s="197"/>
      <c r="I16" s="197"/>
      <c r="J16" s="197"/>
      <c r="K16" s="197"/>
      <c r="L16" s="197"/>
      <c r="M16" s="198"/>
      <c r="N16" s="198"/>
      <c r="O16" s="198"/>
      <c r="P16" s="198"/>
      <c r="Q16" s="198"/>
    </row>
    <row r="17" spans="2:17">
      <c r="D17" s="199" t="s">
        <v>403</v>
      </c>
      <c r="E17" s="200">
        <v>5</v>
      </c>
      <c r="F17" s="200">
        <v>10</v>
      </c>
      <c r="G17" s="201">
        <f t="shared" ref="G17:G22" si="3">ROUNDUP(AVERAGE(E17:F17),0)</f>
        <v>8</v>
      </c>
      <c r="H17" s="202"/>
      <c r="I17" s="202"/>
      <c r="J17" s="202"/>
      <c r="K17" s="202"/>
      <c r="L17" s="202"/>
      <c r="M17" s="203"/>
      <c r="N17" s="203"/>
      <c r="O17" s="203"/>
      <c r="P17" s="203"/>
      <c r="Q17" s="203"/>
    </row>
    <row r="18" spans="2:17">
      <c r="D18" s="199" t="s">
        <v>404</v>
      </c>
      <c r="E18" s="200">
        <v>5</v>
      </c>
      <c r="F18" s="200">
        <v>5</v>
      </c>
      <c r="G18" s="201">
        <f t="shared" si="3"/>
        <v>5</v>
      </c>
      <c r="H18" s="202"/>
      <c r="I18" s="202"/>
      <c r="J18" s="202"/>
      <c r="K18" s="202"/>
      <c r="L18" s="202"/>
      <c r="M18" s="203"/>
      <c r="N18" s="203"/>
      <c r="O18" s="203"/>
      <c r="P18" s="203"/>
      <c r="Q18" s="203"/>
    </row>
    <row r="19" spans="2:17">
      <c r="D19" s="199" t="s">
        <v>405</v>
      </c>
      <c r="E19" s="200">
        <v>5</v>
      </c>
      <c r="F19" s="200">
        <v>10</v>
      </c>
      <c r="G19" s="201">
        <f t="shared" si="3"/>
        <v>8</v>
      </c>
      <c r="H19" s="202"/>
      <c r="I19" s="202"/>
      <c r="J19" s="202"/>
      <c r="K19" s="202"/>
      <c r="L19" s="202"/>
      <c r="M19" s="203"/>
      <c r="N19" s="203"/>
      <c r="O19" s="203"/>
      <c r="P19" s="203"/>
      <c r="Q19" s="203"/>
    </row>
    <row r="20" spans="2:17">
      <c r="D20" s="199" t="s">
        <v>406</v>
      </c>
      <c r="E20" s="200">
        <v>0</v>
      </c>
      <c r="F20" s="200">
        <v>0</v>
      </c>
      <c r="G20" s="201">
        <f t="shared" si="3"/>
        <v>0</v>
      </c>
      <c r="H20" s="202"/>
      <c r="I20" s="202"/>
      <c r="J20" s="202"/>
      <c r="K20" s="202"/>
      <c r="L20" s="202"/>
      <c r="M20" s="203"/>
      <c r="N20" s="203"/>
      <c r="O20" s="203"/>
      <c r="P20" s="203"/>
      <c r="Q20" s="203"/>
    </row>
    <row r="21" spans="2:17">
      <c r="D21" s="199" t="s">
        <v>407</v>
      </c>
      <c r="E21" s="200">
        <v>2</v>
      </c>
      <c r="F21" s="200">
        <v>3</v>
      </c>
      <c r="G21" s="201">
        <f t="shared" si="3"/>
        <v>3</v>
      </c>
      <c r="H21" s="202"/>
      <c r="I21" s="202"/>
      <c r="J21" s="202"/>
      <c r="K21" s="202"/>
      <c r="L21" s="202"/>
      <c r="M21" s="203"/>
      <c r="N21" s="203"/>
      <c r="O21" s="203"/>
      <c r="P21" s="203"/>
      <c r="Q21" s="203"/>
    </row>
    <row r="22" spans="2:17">
      <c r="D22" s="199" t="s">
        <v>408</v>
      </c>
      <c r="E22" s="200">
        <v>0</v>
      </c>
      <c r="F22" s="200">
        <v>0</v>
      </c>
      <c r="G22" s="201">
        <f t="shared" si="3"/>
        <v>0</v>
      </c>
      <c r="H22" s="202"/>
      <c r="I22" s="202"/>
      <c r="J22" s="202"/>
      <c r="K22" s="202"/>
      <c r="L22" s="202"/>
      <c r="M22" s="203"/>
      <c r="N22" s="203"/>
      <c r="O22" s="203"/>
      <c r="P22" s="203"/>
      <c r="Q22" s="203"/>
    </row>
    <row r="23" spans="2:17">
      <c r="D23" s="199"/>
      <c r="H23" s="197"/>
      <c r="I23" s="197"/>
      <c r="J23" s="197"/>
      <c r="K23" s="197"/>
      <c r="L23" s="197"/>
      <c r="M23" s="198"/>
      <c r="N23" s="198"/>
      <c r="O23" s="198"/>
      <c r="P23" s="198"/>
      <c r="Q23" s="198"/>
    </row>
    <row r="24" spans="2:17">
      <c r="D24" s="204" t="s">
        <v>356</v>
      </c>
      <c r="E24" s="205"/>
      <c r="F24" s="205"/>
      <c r="G24" s="190" t="s">
        <v>398</v>
      </c>
      <c r="H24" s="206">
        <f>'3FS'!E13</f>
        <v>0.219</v>
      </c>
      <c r="I24" s="206">
        <f>'3FS'!F13</f>
        <v>4.5979999999999999</v>
      </c>
      <c r="J24" s="206">
        <f>'3FS'!G13</f>
        <v>17.923999999999999</v>
      </c>
      <c r="K24" s="206">
        <f>'3FS'!H13</f>
        <v>16.378</v>
      </c>
      <c r="L24" s="206">
        <f>'3FS'!I13</f>
        <v>15.606</v>
      </c>
      <c r="M24" s="206">
        <f>'3FS'!J13</f>
        <v>174.94326000000001</v>
      </c>
      <c r="N24" s="206">
        <f>'3FS'!K13</f>
        <v>769.7380979717999</v>
      </c>
      <c r="O24" s="206">
        <f>'3FS'!L13</f>
        <v>1641.2176299004077</v>
      </c>
      <c r="P24" s="206">
        <f>'3FS'!M13</f>
        <v>2259.9810283825741</v>
      </c>
      <c r="Q24" s="206">
        <f>'3FS'!N13</f>
        <v>2543.712473181959</v>
      </c>
    </row>
    <row r="25" spans="2:17">
      <c r="D25" s="207" t="s">
        <v>161</v>
      </c>
      <c r="E25" s="207"/>
      <c r="F25" s="207"/>
      <c r="G25" s="191" t="s">
        <v>60</v>
      </c>
      <c r="H25" s="197"/>
      <c r="I25" s="197">
        <f>I24/H24-1</f>
        <v>19.995433789954337</v>
      </c>
      <c r="J25" s="197">
        <f t="shared" ref="J25:Q25" si="4">J24/I24-1</f>
        <v>2.8982166159199654</v>
      </c>
      <c r="K25" s="197">
        <f t="shared" si="4"/>
        <v>-8.6253068511492947E-2</v>
      </c>
      <c r="L25" s="197">
        <f t="shared" si="4"/>
        <v>-4.7136402491146701E-2</v>
      </c>
      <c r="M25" s="197">
        <f t="shared" si="4"/>
        <v>10.210000000000001</v>
      </c>
      <c r="N25" s="197">
        <f t="shared" si="4"/>
        <v>3.3999299999999995</v>
      </c>
      <c r="O25" s="197">
        <f t="shared" si="4"/>
        <v>1.1321766899999997</v>
      </c>
      <c r="P25" s="197">
        <f t="shared" si="4"/>
        <v>0.37701483777000022</v>
      </c>
      <c r="Q25" s="197">
        <f t="shared" si="4"/>
        <v>0.12554594097741001</v>
      </c>
    </row>
    <row r="26" spans="2:17">
      <c r="D26" s="207"/>
      <c r="E26" s="207"/>
      <c r="F26" s="207"/>
      <c r="G26" s="191"/>
      <c r="H26" s="197"/>
      <c r="I26" s="197"/>
      <c r="J26" s="197"/>
      <c r="K26" s="197"/>
      <c r="L26" s="197"/>
      <c r="M26" s="197"/>
      <c r="N26" s="197"/>
      <c r="O26" s="197"/>
      <c r="P26" s="197"/>
      <c r="Q26" s="197"/>
    </row>
    <row r="27" spans="2:17">
      <c r="D27" s="570" t="s">
        <v>229</v>
      </c>
      <c r="E27" s="571"/>
      <c r="F27" s="571"/>
      <c r="G27" s="572" t="s">
        <v>398</v>
      </c>
      <c r="H27" s="573">
        <f>'3FS'!E107</f>
        <v>1.5580000000000001</v>
      </c>
      <c r="I27" s="573">
        <f>'3FS'!F107</f>
        <v>3.5369999999999999</v>
      </c>
      <c r="J27" s="573">
        <f>'3FS'!G107</f>
        <v>7.6790000000000003</v>
      </c>
      <c r="K27" s="573">
        <f>'3FS'!H107</f>
        <v>10.731</v>
      </c>
      <c r="L27" s="573">
        <f>'3FS'!I107</f>
        <v>9.0820000000000007</v>
      </c>
      <c r="M27" s="573">
        <f ca="1">'3FS'!J107</f>
        <v>17.064060386483781</v>
      </c>
      <c r="N27" s="573">
        <f ca="1">'3FS'!K107</f>
        <v>33.537227307165686</v>
      </c>
      <c r="O27" s="573">
        <f ca="1">'3FS'!L107</f>
        <v>66.134867630018221</v>
      </c>
      <c r="P27" s="573">
        <f ca="1">'3FS'!M107</f>
        <v>122.43187319620142</v>
      </c>
      <c r="Q27" s="573">
        <f ca="1">'3FS'!N107</f>
        <v>227.4752340028775</v>
      </c>
    </row>
    <row r="28" spans="2:17">
      <c r="D28" s="207"/>
      <c r="E28" s="207"/>
      <c r="F28" s="207"/>
      <c r="G28" s="191"/>
      <c r="H28" s="197"/>
      <c r="I28" s="197"/>
      <c r="J28" s="197"/>
      <c r="K28" s="197"/>
      <c r="L28" s="197"/>
      <c r="M28" s="197"/>
      <c r="N28" s="197"/>
      <c r="O28" s="197"/>
      <c r="P28" s="197"/>
      <c r="Q28" s="197"/>
    </row>
    <row r="29" spans="2:17">
      <c r="D29" s="208" t="s">
        <v>409</v>
      </c>
      <c r="E29" s="208"/>
      <c r="F29" s="208"/>
      <c r="G29" s="209" t="s">
        <v>398</v>
      </c>
      <c r="H29" s="210">
        <v>3.605</v>
      </c>
      <c r="I29" s="210">
        <v>15.589</v>
      </c>
      <c r="J29" s="210">
        <v>20.071999999999999</v>
      </c>
      <c r="K29" s="210">
        <v>29.323</v>
      </c>
      <c r="L29" s="210">
        <v>33.152000000000001</v>
      </c>
      <c r="M29" s="211">
        <f ca="1">M27/M30</f>
        <v>46.628407670567881</v>
      </c>
      <c r="N29" s="211">
        <f ca="1">N27/N30</f>
        <v>91.6421690735271</v>
      </c>
      <c r="O29" s="211">
        <f ca="1">O27/O30</f>
        <v>180.71686921209806</v>
      </c>
      <c r="P29" s="211">
        <f ca="1">P27/P30</f>
        <v>334.55128298688044</v>
      </c>
      <c r="Q29" s="211">
        <f ca="1">Q27/Q30</f>
        <v>621.58757680238341</v>
      </c>
    </row>
    <row r="30" spans="2:17">
      <c r="D30" s="324" t="s">
        <v>410</v>
      </c>
      <c r="E30" s="324"/>
      <c r="F30" s="324"/>
      <c r="G30" s="191" t="s">
        <v>60</v>
      </c>
      <c r="H30" s="197">
        <f>H27/H29</f>
        <v>0.43217753120665742</v>
      </c>
      <c r="I30" s="197">
        <f>I27/I29</f>
        <v>0.22689075630252101</v>
      </c>
      <c r="J30" s="197">
        <f>J27/J29</f>
        <v>0.38257273814268639</v>
      </c>
      <c r="K30" s="197">
        <f>K27/K29</f>
        <v>0.36595846264024828</v>
      </c>
      <c r="L30" s="197">
        <f>L27/L29</f>
        <v>0.27395028957528961</v>
      </c>
      <c r="M30" s="213">
        <f>MEDIAN($H$30:$L$30)</f>
        <v>0.36595846264024828</v>
      </c>
      <c r="N30" s="213">
        <f>M30</f>
        <v>0.36595846264024828</v>
      </c>
      <c r="O30" s="213">
        <f t="shared" ref="O30:Q30" si="5">N30</f>
        <v>0.36595846264024828</v>
      </c>
      <c r="P30" s="213">
        <f t="shared" si="5"/>
        <v>0.36595846264024828</v>
      </c>
      <c r="Q30" s="213">
        <f t="shared" si="5"/>
        <v>0.36595846264024828</v>
      </c>
    </row>
    <row r="31" spans="2:17">
      <c r="D31" s="195"/>
      <c r="E31" s="207"/>
      <c r="F31" s="207"/>
      <c r="G31" s="214"/>
      <c r="H31" s="197"/>
      <c r="I31" s="197"/>
      <c r="J31" s="197"/>
      <c r="K31" s="197"/>
      <c r="L31" s="197"/>
      <c r="M31" s="198"/>
      <c r="N31" s="198"/>
      <c r="O31" s="198"/>
      <c r="P31" s="198"/>
      <c r="Q31" s="198"/>
    </row>
    <row r="32" spans="2:17">
      <c r="B32" s="186" t="s">
        <v>64</v>
      </c>
      <c r="D32" s="405" t="s">
        <v>411</v>
      </c>
      <c r="E32" s="406"/>
      <c r="F32" s="407"/>
      <c r="G32" s="408"/>
      <c r="H32" s="409"/>
      <c r="I32" s="406"/>
      <c r="J32" s="410"/>
      <c r="K32" s="406"/>
      <c r="L32" s="406"/>
      <c r="M32" s="406"/>
      <c r="N32" s="406"/>
      <c r="O32" s="406"/>
      <c r="P32" s="406"/>
      <c r="Q32" s="406"/>
    </row>
    <row r="33" spans="4:17">
      <c r="D33" s="215"/>
      <c r="H33" s="216"/>
      <c r="I33" s="216"/>
      <c r="J33" s="216"/>
      <c r="K33" s="216"/>
      <c r="L33" s="216"/>
      <c r="M33" s="217"/>
      <c r="N33" s="215"/>
      <c r="O33" s="215"/>
      <c r="P33" s="215"/>
      <c r="Q33" s="215"/>
    </row>
    <row r="34" spans="4:17">
      <c r="D34" s="195" t="s">
        <v>412</v>
      </c>
      <c r="H34" s="218"/>
      <c r="I34" s="218"/>
      <c r="J34" s="202"/>
      <c r="K34" s="218"/>
      <c r="L34" s="218"/>
      <c r="M34" s="219"/>
      <c r="N34" s="219"/>
      <c r="O34" s="219"/>
      <c r="P34" s="219"/>
      <c r="Q34" s="219"/>
    </row>
    <row r="35" spans="4:17">
      <c r="D35" s="199" t="s">
        <v>402</v>
      </c>
      <c r="H35" s="218">
        <v>0</v>
      </c>
      <c r="I35" s="218">
        <v>3.468</v>
      </c>
      <c r="J35" s="202">
        <v>4.3159999999999998</v>
      </c>
      <c r="K35" s="218">
        <v>4.0330000000000004</v>
      </c>
      <c r="L35" s="218">
        <v>2.9089999999999998</v>
      </c>
      <c r="M35" s="203">
        <f ca="1">L35+M45</f>
        <v>7.492513808222788</v>
      </c>
      <c r="N35" s="203">
        <f t="shared" ref="N35:Q35" ca="1" si="6">M35+N45</f>
        <v>16.500823728038739</v>
      </c>
      <c r="O35" s="203">
        <f t="shared" ca="1" si="6"/>
        <v>34.26506460163997</v>
      </c>
      <c r="P35" s="203">
        <f t="shared" ca="1" si="6"/>
        <v>67.151034801667194</v>
      </c>
      <c r="Q35" s="203">
        <f t="shared" ca="1" si="6"/>
        <v>128.25231154742679</v>
      </c>
    </row>
    <row r="36" spans="4:17">
      <c r="D36" s="199" t="s">
        <v>403</v>
      </c>
      <c r="F36" s="220"/>
      <c r="G36" s="191" t="s">
        <v>398</v>
      </c>
      <c r="H36" s="362">
        <v>7.0549999999999997</v>
      </c>
      <c r="I36" s="362">
        <v>13.489000000000001</v>
      </c>
      <c r="J36" s="362">
        <v>23.652999999999999</v>
      </c>
      <c r="K36" s="362">
        <v>20.559000000000001</v>
      </c>
      <c r="L36" s="362">
        <v>51.874000000000002</v>
      </c>
      <c r="M36" s="203">
        <f ca="1">L36+M46</f>
        <v>91.903486062721981</v>
      </c>
      <c r="N36" s="203">
        <f t="shared" ref="N36:Q38" ca="1" si="7">M36+N46</f>
        <v>170.57631906194689</v>
      </c>
      <c r="O36" s="203">
        <f t="shared" ca="1" si="7"/>
        <v>325.71786814792551</v>
      </c>
      <c r="P36" s="203">
        <f t="shared" ca="1" si="7"/>
        <v>612.92295596056692</v>
      </c>
      <c r="Q36" s="203">
        <f t="shared" ca="1" si="7"/>
        <v>1146.5425343549991</v>
      </c>
    </row>
    <row r="37" spans="4:17">
      <c r="D37" s="199" t="s">
        <v>404</v>
      </c>
      <c r="F37" s="220"/>
      <c r="G37" s="191" t="s">
        <v>398</v>
      </c>
      <c r="H37" s="362">
        <v>0.20100000000000001</v>
      </c>
      <c r="I37" s="362">
        <v>0.22600000000000001</v>
      </c>
      <c r="J37" s="362">
        <v>0.379</v>
      </c>
      <c r="K37" s="362">
        <v>0.504</v>
      </c>
      <c r="L37" s="362">
        <v>0.504</v>
      </c>
      <c r="M37" s="203">
        <f ca="1">L37+M47</f>
        <v>0.74391515197484415</v>
      </c>
      <c r="N37" s="203">
        <f t="shared" ca="1" si="7"/>
        <v>1.2154376855323759</v>
      </c>
      <c r="O37" s="203">
        <f t="shared" ca="1" si="7"/>
        <v>2.1452724645313923</v>
      </c>
      <c r="P37" s="203">
        <f t="shared" ca="1" si="7"/>
        <v>3.8666248741664218</v>
      </c>
      <c r="Q37" s="203">
        <f t="shared" ca="1" si="7"/>
        <v>7.0648528515792028</v>
      </c>
    </row>
    <row r="38" spans="4:17">
      <c r="D38" s="199" t="s">
        <v>405</v>
      </c>
      <c r="F38" s="220"/>
      <c r="G38" s="191" t="s">
        <v>398</v>
      </c>
      <c r="H38" s="362">
        <v>0.21099999999999999</v>
      </c>
      <c r="I38" s="362">
        <v>0.80800000000000005</v>
      </c>
      <c r="J38" s="362">
        <v>1.8680000000000001</v>
      </c>
      <c r="K38" s="362">
        <v>2.1030000000000002</v>
      </c>
      <c r="L38" s="362">
        <v>2.3690000000000002</v>
      </c>
      <c r="M38" s="203">
        <f ca="1">L38+M48</f>
        <v>4.4140125068213276</v>
      </c>
      <c r="N38" s="203">
        <f t="shared" ca="1" si="7"/>
        <v>8.4332229253210222</v>
      </c>
      <c r="O38" s="203">
        <f t="shared" ca="1" si="7"/>
        <v>16.359040601604406</v>
      </c>
      <c r="P38" s="203">
        <f t="shared" ca="1" si="7"/>
        <v>31.031674561462705</v>
      </c>
      <c r="Q38" s="203">
        <f t="shared" ca="1" si="7"/>
        <v>58.293046590857486</v>
      </c>
    </row>
    <row r="39" spans="4:17">
      <c r="D39" s="199" t="s">
        <v>406</v>
      </c>
      <c r="F39" s="220"/>
      <c r="G39" s="191" t="s">
        <v>398</v>
      </c>
      <c r="H39" s="362">
        <v>2.7320000000000002</v>
      </c>
      <c r="I39" s="362">
        <v>2.9329999999999998</v>
      </c>
      <c r="J39" s="362">
        <v>6.3029999999999999</v>
      </c>
      <c r="K39" s="362">
        <v>7.718</v>
      </c>
      <c r="L39" s="362">
        <v>9.6739999999999995</v>
      </c>
      <c r="M39" s="203">
        <f ca="1">L39+M50</f>
        <v>15.072065843130408</v>
      </c>
      <c r="N39" s="203">
        <f ca="1">M39+N50</f>
        <v>25.681273563908743</v>
      </c>
      <c r="O39" s="203">
        <f ca="1">N39+O50</f>
        <v>46.602458903614149</v>
      </c>
      <c r="P39" s="203">
        <f ca="1">O39+P50</f>
        <v>85.332708201980125</v>
      </c>
      <c r="Q39" s="203">
        <f ca="1">P39+Q50</f>
        <v>157.29250341002182</v>
      </c>
    </row>
    <row r="40" spans="4:17">
      <c r="D40" s="199" t="s">
        <v>407</v>
      </c>
      <c r="F40" s="220"/>
      <c r="G40" s="191"/>
      <c r="H40" s="362">
        <v>2.7320000000000002</v>
      </c>
      <c r="I40" s="362">
        <v>3.0529999999999999</v>
      </c>
      <c r="J40" s="362">
        <v>6.9260000000000002</v>
      </c>
      <c r="K40" s="362">
        <v>7.0449999999999999</v>
      </c>
      <c r="L40" s="362">
        <v>9.9550000000000001</v>
      </c>
      <c r="M40" s="203"/>
      <c r="N40" s="203"/>
      <c r="O40" s="203"/>
      <c r="P40" s="203"/>
      <c r="Q40" s="203"/>
    </row>
    <row r="41" spans="4:17">
      <c r="D41" s="199" t="s">
        <v>408</v>
      </c>
      <c r="F41" s="220"/>
      <c r="G41" s="191" t="s">
        <v>398</v>
      </c>
      <c r="H41" s="362">
        <v>2.7320000000000002</v>
      </c>
      <c r="I41" s="363">
        <v>0</v>
      </c>
      <c r="J41" s="363">
        <v>0</v>
      </c>
      <c r="K41" s="363">
        <v>17.957999999999998</v>
      </c>
      <c r="L41" s="363">
        <v>0</v>
      </c>
      <c r="M41" s="203">
        <f t="shared" ref="M41:Q41" ca="1" si="8">L41+M51</f>
        <v>-5.6675857023034659</v>
      </c>
      <c r="N41" s="203">
        <f t="shared" ca="1" si="8"/>
        <v>-16.806500220652779</v>
      </c>
      <c r="O41" s="203">
        <f t="shared" ca="1" si="8"/>
        <v>-38.772258763122394</v>
      </c>
      <c r="P41" s="203">
        <f t="shared" ca="1" si="8"/>
        <v>-79.436269456769821</v>
      </c>
      <c r="Q41" s="203">
        <f t="shared" ca="1" si="8"/>
        <v>-154.98894300942732</v>
      </c>
    </row>
    <row r="42" spans="4:17">
      <c r="D42" s="204" t="s">
        <v>413</v>
      </c>
      <c r="E42" s="221"/>
      <c r="F42" s="221"/>
      <c r="G42" s="190" t="s">
        <v>398</v>
      </c>
      <c r="H42" s="222">
        <f>SUM(H35:H41)</f>
        <v>15.663</v>
      </c>
      <c r="I42" s="222">
        <f t="shared" ref="I42:Q42" si="9">SUM(I35:I41)</f>
        <v>23.977</v>
      </c>
      <c r="J42" s="222">
        <f t="shared" si="9"/>
        <v>43.445</v>
      </c>
      <c r="K42" s="222">
        <f t="shared" si="9"/>
        <v>59.92</v>
      </c>
      <c r="L42" s="222">
        <f t="shared" si="9"/>
        <v>77.284999999999997</v>
      </c>
      <c r="M42" s="222">
        <f t="shared" ca="1" si="9"/>
        <v>113.95840767056787</v>
      </c>
      <c r="N42" s="222">
        <f t="shared" ca="1" si="9"/>
        <v>205.60057674409501</v>
      </c>
      <c r="O42" s="222">
        <f t="shared" ca="1" si="9"/>
        <v>386.31744595619301</v>
      </c>
      <c r="P42" s="222">
        <f t="shared" ca="1" si="9"/>
        <v>720.86872894307362</v>
      </c>
      <c r="Q42" s="222">
        <f t="shared" ca="1" si="9"/>
        <v>1342.4563057454575</v>
      </c>
    </row>
    <row r="43" spans="4:17">
      <c r="D43" s="215"/>
      <c r="E43" s="215"/>
      <c r="F43" s="215"/>
      <c r="G43" s="223"/>
      <c r="H43" s="202"/>
      <c r="I43" s="215"/>
      <c r="J43" s="215"/>
      <c r="K43" s="215"/>
      <c r="L43" s="215"/>
      <c r="M43" s="216"/>
      <c r="N43" s="216"/>
      <c r="O43" s="216"/>
      <c r="P43" s="216"/>
      <c r="Q43" s="216"/>
    </row>
    <row r="44" spans="4:17">
      <c r="D44" s="195" t="s">
        <v>414</v>
      </c>
      <c r="E44" s="195"/>
      <c r="F44" s="195"/>
      <c r="G44" s="224"/>
      <c r="H44" s="225"/>
      <c r="I44" s="225"/>
      <c r="J44" s="225"/>
      <c r="K44" s="226"/>
      <c r="L44" s="226"/>
      <c r="M44" s="227"/>
      <c r="N44" s="219"/>
      <c r="O44" s="219"/>
      <c r="P44" s="219"/>
      <c r="Q44" s="219"/>
    </row>
    <row r="45" spans="4:17">
      <c r="D45" s="199" t="s">
        <v>402</v>
      </c>
      <c r="E45" s="195"/>
      <c r="F45" s="195"/>
      <c r="G45" s="224"/>
      <c r="H45" s="225"/>
      <c r="I45" s="218">
        <f>I35-H35</f>
        <v>3.468</v>
      </c>
      <c r="J45" s="218">
        <f t="shared" ref="J45:L45" si="10">J35-I35</f>
        <v>0.84799999999999986</v>
      </c>
      <c r="K45" s="218">
        <f t="shared" si="10"/>
        <v>-0.28299999999999947</v>
      </c>
      <c r="L45" s="218">
        <f t="shared" si="10"/>
        <v>-1.1240000000000006</v>
      </c>
      <c r="M45" s="203">
        <f ca="1">M55*$M$29</f>
        <v>4.5835138082227882</v>
      </c>
      <c r="N45" s="203">
        <f ca="1">$N$29*N55</f>
        <v>9.008309919815952</v>
      </c>
      <c r="O45" s="203">
        <f ca="1">$O$29*O55</f>
        <v>17.764240873601231</v>
      </c>
      <c r="P45" s="203">
        <f ca="1">P55*$P$29</f>
        <v>32.885970200027224</v>
      </c>
      <c r="Q45" s="203">
        <f ca="1">$Q$29*Q55</f>
        <v>61.101276745759591</v>
      </c>
    </row>
    <row r="46" spans="4:17">
      <c r="D46" s="199" t="s">
        <v>403</v>
      </c>
      <c r="E46" s="228"/>
      <c r="F46" s="228"/>
      <c r="G46" s="229" t="s">
        <v>398</v>
      </c>
      <c r="H46" s="212"/>
      <c r="I46" s="218">
        <f>I36-H36</f>
        <v>6.4340000000000011</v>
      </c>
      <c r="J46" s="218">
        <f t="shared" ref="J46:L46" si="11">J36-I36</f>
        <v>10.163999999999998</v>
      </c>
      <c r="K46" s="218">
        <f t="shared" si="11"/>
        <v>-3.0939999999999976</v>
      </c>
      <c r="L46" s="218">
        <f t="shared" si="11"/>
        <v>31.315000000000001</v>
      </c>
      <c r="M46" s="203">
        <f ca="1">M56*$M$29</f>
        <v>40.029486062721979</v>
      </c>
      <c r="N46" s="203">
        <f ca="1">$N$29*N56</f>
        <v>78.672832999224909</v>
      </c>
      <c r="O46" s="203">
        <f ca="1">$O$29*O56</f>
        <v>155.14154908597865</v>
      </c>
      <c r="P46" s="203">
        <f ca="1">P56*$P$29</f>
        <v>287.20508781264135</v>
      </c>
      <c r="Q46" s="203">
        <f ca="1">$Q$29*Q56</f>
        <v>533.6195783944321</v>
      </c>
    </row>
    <row r="47" spans="4:17">
      <c r="D47" s="199" t="s">
        <v>404</v>
      </c>
      <c r="E47" s="228"/>
      <c r="F47" s="228"/>
      <c r="G47" s="229" t="s">
        <v>398</v>
      </c>
      <c r="H47" s="212"/>
      <c r="I47" s="218">
        <f>I37-H37</f>
        <v>2.4999999999999994E-2</v>
      </c>
      <c r="J47" s="218">
        <f t="shared" ref="J47:L48" si="12">J37-I37</f>
        <v>0.153</v>
      </c>
      <c r="K47" s="218">
        <f t="shared" si="12"/>
        <v>0.125</v>
      </c>
      <c r="L47" s="218">
        <f t="shared" si="12"/>
        <v>0</v>
      </c>
      <c r="M47" s="203">
        <f ca="1">M57*$M$29</f>
        <v>0.23991515197484414</v>
      </c>
      <c r="N47" s="203">
        <f ca="1">$N$29*N57</f>
        <v>0.47152253355753182</v>
      </c>
      <c r="O47" s="203">
        <f ca="1">$O$29*O57</f>
        <v>0.92983477899901668</v>
      </c>
      <c r="P47" s="203">
        <f ca="1">P57*$P$29</f>
        <v>1.7213524096350294</v>
      </c>
      <c r="Q47" s="203">
        <f ca="1">$Q$29*Q57</f>
        <v>3.1982279774127811</v>
      </c>
    </row>
    <row r="48" spans="4:17">
      <c r="D48" s="199" t="s">
        <v>405</v>
      </c>
      <c r="E48" s="228"/>
      <c r="F48" s="228"/>
      <c r="G48" s="229" t="s">
        <v>398</v>
      </c>
      <c r="H48" s="212"/>
      <c r="I48" s="218">
        <f>I38-H38</f>
        <v>0.59700000000000009</v>
      </c>
      <c r="J48" s="218">
        <f t="shared" si="12"/>
        <v>1.06</v>
      </c>
      <c r="K48" s="218">
        <f t="shared" si="12"/>
        <v>0.2350000000000001</v>
      </c>
      <c r="L48" s="218">
        <f t="shared" si="12"/>
        <v>0.26600000000000001</v>
      </c>
      <c r="M48" s="203">
        <f ca="1">M59*$M$29</f>
        <v>2.045012506821327</v>
      </c>
      <c r="N48" s="203">
        <f ca="1">$N$29*N59</f>
        <v>4.0192104184996955</v>
      </c>
      <c r="O48" s="203">
        <f ca="1">$O$29*O59</f>
        <v>7.9258176762833816</v>
      </c>
      <c r="P48" s="203">
        <f ca="1">P59*$P$29</f>
        <v>14.672633959858299</v>
      </c>
      <c r="Q48" s="203">
        <f ca="1">$Q$29*Q59</f>
        <v>27.261372029394778</v>
      </c>
    </row>
    <row r="49" spans="4:17">
      <c r="D49" s="199" t="s">
        <v>406</v>
      </c>
      <c r="E49" s="228"/>
      <c r="F49" s="228"/>
      <c r="G49" s="229"/>
      <c r="H49" s="212"/>
      <c r="I49" s="218"/>
      <c r="J49" s="218"/>
      <c r="K49" s="218"/>
      <c r="L49" s="218"/>
      <c r="M49" s="203"/>
      <c r="N49" s="203"/>
      <c r="O49" s="203"/>
      <c r="P49" s="203"/>
      <c r="Q49" s="203"/>
    </row>
    <row r="50" spans="4:17">
      <c r="D50" s="199" t="s">
        <v>407</v>
      </c>
      <c r="E50" s="228"/>
      <c r="F50" s="228"/>
      <c r="G50" s="229" t="s">
        <v>398</v>
      </c>
      <c r="H50" s="212"/>
      <c r="I50" s="218">
        <f>I39-H39</f>
        <v>0.20099999999999962</v>
      </c>
      <c r="J50" s="218">
        <f>J39-I39</f>
        <v>3.37</v>
      </c>
      <c r="K50" s="218">
        <f>K39-J39</f>
        <v>1.415</v>
      </c>
      <c r="L50" s="218">
        <f>L39-K39</f>
        <v>1.9559999999999995</v>
      </c>
      <c r="M50" s="203">
        <f ca="1">M60*$M$29</f>
        <v>5.3980658431304089</v>
      </c>
      <c r="N50" s="203">
        <f ca="1">$N$29*N60</f>
        <v>10.609207720778334</v>
      </c>
      <c r="O50" s="203">
        <f ca="1">$O$29*O60</f>
        <v>20.921185339705406</v>
      </c>
      <c r="P50" s="203">
        <f ca="1">P60*$P$29</f>
        <v>38.730249298365983</v>
      </c>
      <c r="Q50" s="203">
        <f ca="1">$Q$29*Q60</f>
        <v>71.959795208041697</v>
      </c>
    </row>
    <row r="51" spans="4:17">
      <c r="D51" s="199" t="s">
        <v>408</v>
      </c>
      <c r="E51" s="228"/>
      <c r="F51" s="228"/>
      <c r="G51" s="209" t="s">
        <v>398</v>
      </c>
      <c r="H51" s="212"/>
      <c r="I51" s="218">
        <f>I41-H41</f>
        <v>-2.7320000000000002</v>
      </c>
      <c r="J51" s="218">
        <f t="shared" ref="J51:L51" si="13">J41-I41</f>
        <v>0</v>
      </c>
      <c r="K51" s="218">
        <f t="shared" si="13"/>
        <v>17.957999999999998</v>
      </c>
      <c r="L51" s="218">
        <f t="shared" si="13"/>
        <v>-17.957999999999998</v>
      </c>
      <c r="M51" s="203">
        <f ca="1">M29*M61</f>
        <v>-5.6675857023034659</v>
      </c>
      <c r="N51" s="203">
        <f t="shared" ref="N51:Q51" ca="1" si="14">N29*N61</f>
        <v>-11.138914518349313</v>
      </c>
      <c r="O51" s="203">
        <f t="shared" ca="1" si="14"/>
        <v>-21.965758542469619</v>
      </c>
      <c r="P51" s="203">
        <f t="shared" ca="1" si="14"/>
        <v>-40.664010693647434</v>
      </c>
      <c r="Q51" s="203">
        <f t="shared" ca="1" si="14"/>
        <v>-75.552673552657495</v>
      </c>
    </row>
    <row r="52" spans="4:17">
      <c r="D52" s="325" t="s">
        <v>415</v>
      </c>
      <c r="E52" s="325"/>
      <c r="F52" s="325"/>
      <c r="G52" s="229" t="s">
        <v>398</v>
      </c>
      <c r="H52" s="326"/>
      <c r="I52" s="327">
        <f>SUM(I45:I51)</f>
        <v>7.9930000000000012</v>
      </c>
      <c r="J52" s="327">
        <f t="shared" ref="J52:Q52" si="15">SUM(J45:J51)</f>
        <v>15.594999999999999</v>
      </c>
      <c r="K52" s="327">
        <f t="shared" si="15"/>
        <v>16.356000000000002</v>
      </c>
      <c r="L52" s="327">
        <f t="shared" si="15"/>
        <v>14.454999999999998</v>
      </c>
      <c r="M52" s="327">
        <f t="shared" ca="1" si="15"/>
        <v>46.628407670567881</v>
      </c>
      <c r="N52" s="327">
        <f t="shared" ca="1" si="15"/>
        <v>91.642169073527114</v>
      </c>
      <c r="O52" s="327">
        <f t="shared" ca="1" si="15"/>
        <v>180.71686921209806</v>
      </c>
      <c r="P52" s="327">
        <f t="shared" ca="1" si="15"/>
        <v>334.55128298688044</v>
      </c>
      <c r="Q52" s="327">
        <f t="shared" ca="1" si="15"/>
        <v>621.58757680238341</v>
      </c>
    </row>
    <row r="54" spans="4:17">
      <c r="D54" s="195" t="s">
        <v>416</v>
      </c>
      <c r="E54" s="195"/>
      <c r="F54" s="195"/>
      <c r="G54" s="224"/>
      <c r="H54" s="225"/>
      <c r="I54" s="226"/>
      <c r="J54" s="226"/>
      <c r="K54" s="226"/>
      <c r="L54" s="226"/>
      <c r="M54" s="219"/>
      <c r="N54" s="219"/>
      <c r="O54" s="219"/>
      <c r="P54" s="219"/>
      <c r="Q54" s="219"/>
    </row>
    <row r="55" spans="4:17">
      <c r="D55" s="199" t="s">
        <v>402</v>
      </c>
      <c r="E55" s="228"/>
      <c r="F55" s="228"/>
      <c r="G55" s="229" t="s">
        <v>398</v>
      </c>
      <c r="H55" s="212"/>
      <c r="I55" s="230">
        <f>I45/$I$52</f>
        <v>0.43387964468910289</v>
      </c>
      <c r="J55" s="230">
        <f>J45/$J$52</f>
        <v>5.4376402693170886E-2</v>
      </c>
      <c r="K55" s="230">
        <f>K45/$K$52</f>
        <v>-1.730251895328928E-2</v>
      </c>
      <c r="L55" s="230">
        <f>L45/$L$52</f>
        <v>-7.7758561051539304E-2</v>
      </c>
      <c r="M55" s="213">
        <f>AVERAGE(I55:L55)</f>
        <v>9.8298741844361298E-2</v>
      </c>
      <c r="N55" s="213">
        <f t="shared" ref="N55" si="16">M55</f>
        <v>9.8298741844361298E-2</v>
      </c>
      <c r="O55" s="213">
        <f t="shared" ref="O55" si="17">N55</f>
        <v>9.8298741844361298E-2</v>
      </c>
      <c r="P55" s="213">
        <f t="shared" ref="P55" si="18">O55</f>
        <v>9.8298741844361298E-2</v>
      </c>
      <c r="Q55" s="213">
        <f t="shared" ref="Q55" si="19">P55</f>
        <v>9.8298741844361298E-2</v>
      </c>
    </row>
    <row r="56" spans="4:17">
      <c r="D56" s="199" t="s">
        <v>403</v>
      </c>
      <c r="E56" s="228"/>
      <c r="F56" s="228"/>
      <c r="G56" s="229" t="s">
        <v>398</v>
      </c>
      <c r="H56" s="212"/>
      <c r="I56" s="230">
        <f>I46/$I$52</f>
        <v>0.80495433504316283</v>
      </c>
      <c r="J56" s="230">
        <f>J46/$J$52</f>
        <v>0.65174735492144908</v>
      </c>
      <c r="K56" s="230">
        <f>K46/$K$52</f>
        <v>-0.18916605527023705</v>
      </c>
      <c r="L56" s="230">
        <f>L46/$L$52</f>
        <v>2.1663784157730892</v>
      </c>
      <c r="M56" s="213">
        <f>AVERAGE(I56:L56)</f>
        <v>0.85847851261686603</v>
      </c>
      <c r="N56" s="213">
        <f t="shared" ref="N56:Q60" si="20">M56</f>
        <v>0.85847851261686603</v>
      </c>
      <c r="O56" s="213">
        <f t="shared" si="20"/>
        <v>0.85847851261686603</v>
      </c>
      <c r="P56" s="213">
        <f t="shared" si="20"/>
        <v>0.85847851261686603</v>
      </c>
      <c r="Q56" s="213">
        <f t="shared" si="20"/>
        <v>0.85847851261686603</v>
      </c>
    </row>
    <row r="57" spans="4:17">
      <c r="D57" s="199" t="s">
        <v>404</v>
      </c>
      <c r="E57" s="228"/>
      <c r="F57" s="228"/>
      <c r="G57" s="229" t="s">
        <v>398</v>
      </c>
      <c r="H57" s="212"/>
      <c r="I57" s="230">
        <f>I47/$I$52</f>
        <v>3.1277367696734633E-3</v>
      </c>
      <c r="J57" s="230">
        <f>J47/$J$52</f>
        <v>9.8108368066688045E-3</v>
      </c>
      <c r="K57" s="230">
        <f>K47/$K$52</f>
        <v>7.6424553680606499E-3</v>
      </c>
      <c r="L57" s="230">
        <f>L47/$L$52</f>
        <v>0</v>
      </c>
      <c r="M57" s="213">
        <f t="shared" ref="M57:M60" si="21">AVERAGE(I57:L57)</f>
        <v>5.1452572361007295E-3</v>
      </c>
      <c r="N57" s="213">
        <f t="shared" si="20"/>
        <v>5.1452572361007295E-3</v>
      </c>
      <c r="O57" s="213">
        <f t="shared" si="20"/>
        <v>5.1452572361007295E-3</v>
      </c>
      <c r="P57" s="213">
        <f t="shared" si="20"/>
        <v>5.1452572361007295E-3</v>
      </c>
      <c r="Q57" s="213">
        <f t="shared" si="20"/>
        <v>5.1452572361007295E-3</v>
      </c>
    </row>
    <row r="58" spans="4:17">
      <c r="D58" s="199" t="s">
        <v>405</v>
      </c>
      <c r="E58" s="228"/>
      <c r="F58" s="228"/>
      <c r="G58" s="229"/>
      <c r="H58" s="212"/>
      <c r="I58" s="230"/>
      <c r="J58" s="230"/>
      <c r="K58" s="230"/>
      <c r="L58" s="230"/>
      <c r="M58" s="213"/>
      <c r="N58" s="213"/>
      <c r="O58" s="213"/>
      <c r="P58" s="213"/>
      <c r="Q58" s="213"/>
    </row>
    <row r="59" spans="4:17">
      <c r="D59" s="199" t="s">
        <v>406</v>
      </c>
      <c r="E59" s="228"/>
      <c r="F59" s="228"/>
      <c r="G59" s="229" t="s">
        <v>398</v>
      </c>
      <c r="H59" s="212"/>
      <c r="I59" s="230">
        <f>I48/$I$52</f>
        <v>7.469035405980233E-2</v>
      </c>
      <c r="J59" s="230">
        <f>J48/$J$52</f>
        <v>6.7970503366463625E-2</v>
      </c>
      <c r="K59" s="230">
        <f>K48/$K$52</f>
        <v>1.4367816091954028E-2</v>
      </c>
      <c r="L59" s="230">
        <f>L48/$L$52</f>
        <v>1.8401937046004846E-2</v>
      </c>
      <c r="M59" s="213">
        <f t="shared" si="21"/>
        <v>4.3857652641056205E-2</v>
      </c>
      <c r="N59" s="213">
        <f t="shared" si="20"/>
        <v>4.3857652641056205E-2</v>
      </c>
      <c r="O59" s="213">
        <f t="shared" si="20"/>
        <v>4.3857652641056205E-2</v>
      </c>
      <c r="P59" s="213">
        <f t="shared" si="20"/>
        <v>4.3857652641056205E-2</v>
      </c>
      <c r="Q59" s="213">
        <f t="shared" si="20"/>
        <v>4.3857652641056205E-2</v>
      </c>
    </row>
    <row r="60" spans="4:17">
      <c r="D60" s="199" t="s">
        <v>407</v>
      </c>
      <c r="E60" s="228"/>
      <c r="F60" s="228"/>
      <c r="G60" s="229" t="s">
        <v>398</v>
      </c>
      <c r="H60" s="212"/>
      <c r="I60" s="230">
        <f>I50/$I$52</f>
        <v>2.51470036281746E-2</v>
      </c>
      <c r="J60" s="230">
        <f>J50/$J$52</f>
        <v>0.21609490221224753</v>
      </c>
      <c r="K60" s="230">
        <f>K50/$K$52</f>
        <v>8.6512594766446557E-2</v>
      </c>
      <c r="L60" s="230">
        <f>L50/$L$52</f>
        <v>0.13531649948114838</v>
      </c>
      <c r="M60" s="213">
        <f t="shared" si="21"/>
        <v>0.11576775002200426</v>
      </c>
      <c r="N60" s="213">
        <f t="shared" si="20"/>
        <v>0.11576775002200426</v>
      </c>
      <c r="O60" s="213">
        <f t="shared" si="20"/>
        <v>0.11576775002200426</v>
      </c>
      <c r="P60" s="213">
        <f t="shared" si="20"/>
        <v>0.11576775002200426</v>
      </c>
      <c r="Q60" s="213">
        <f t="shared" si="20"/>
        <v>0.11576775002200426</v>
      </c>
    </row>
    <row r="61" spans="4:17">
      <c r="D61" s="199" t="s">
        <v>408</v>
      </c>
      <c r="E61" s="228"/>
      <c r="F61" s="228"/>
      <c r="G61" s="209" t="s">
        <v>398</v>
      </c>
      <c r="H61" s="212"/>
      <c r="I61" s="230">
        <f>I51/I52</f>
        <v>-0.34179907418991617</v>
      </c>
      <c r="J61" s="230">
        <f t="shared" ref="J61:L61" si="22">J51/J52</f>
        <v>0</v>
      </c>
      <c r="K61" s="230">
        <f t="shared" si="22"/>
        <v>1.0979457079970651</v>
      </c>
      <c r="L61" s="230">
        <f t="shared" si="22"/>
        <v>-1.2423382912487029</v>
      </c>
      <c r="M61" s="213">
        <f>AVERAGE($I$61:$L$61)</f>
        <v>-0.12154791436038848</v>
      </c>
      <c r="N61" s="213">
        <f>M61</f>
        <v>-0.12154791436038848</v>
      </c>
      <c r="O61" s="213">
        <f>N61</f>
        <v>-0.12154791436038848</v>
      </c>
      <c r="P61" s="213">
        <f>O61</f>
        <v>-0.12154791436038848</v>
      </c>
      <c r="Q61" s="213">
        <f>P61</f>
        <v>-0.12154791436038848</v>
      </c>
    </row>
    <row r="62" spans="4:17">
      <c r="D62" s="325" t="s">
        <v>417</v>
      </c>
      <c r="E62" s="325"/>
      <c r="F62" s="325"/>
      <c r="G62" s="229" t="s">
        <v>398</v>
      </c>
      <c r="H62" s="326"/>
      <c r="I62" s="328">
        <f>SUM(I55:I61)</f>
        <v>0.99999999999999978</v>
      </c>
      <c r="J62" s="328">
        <f t="shared" ref="J62:Q62" si="23">SUM(J55:J61)</f>
        <v>1</v>
      </c>
      <c r="K62" s="328">
        <f t="shared" si="23"/>
        <v>1</v>
      </c>
      <c r="L62" s="328">
        <f t="shared" si="23"/>
        <v>1.0000000000000002</v>
      </c>
      <c r="M62" s="328">
        <f t="shared" si="23"/>
        <v>0.99999999999999989</v>
      </c>
      <c r="N62" s="328">
        <f t="shared" si="23"/>
        <v>0.99999999999999989</v>
      </c>
      <c r="O62" s="328">
        <f t="shared" si="23"/>
        <v>0.99999999999999989</v>
      </c>
      <c r="P62" s="328">
        <f t="shared" si="23"/>
        <v>0.99999999999999989</v>
      </c>
      <c r="Q62" s="328">
        <f t="shared" si="23"/>
        <v>0.99999999999999989</v>
      </c>
    </row>
    <row r="63" spans="4:17">
      <c r="D63" s="208"/>
      <c r="E63" s="208"/>
      <c r="F63" s="208"/>
      <c r="G63" s="229"/>
      <c r="H63" s="231"/>
      <c r="I63" s="231"/>
      <c r="J63" s="231"/>
      <c r="K63" s="231"/>
      <c r="L63" s="231"/>
      <c r="M63" s="231"/>
      <c r="N63" s="231"/>
      <c r="O63" s="231"/>
      <c r="P63" s="231"/>
      <c r="Q63" s="231"/>
    </row>
    <row r="64" spans="4:17">
      <c r="D64" s="208"/>
      <c r="E64" s="208"/>
      <c r="F64" s="208"/>
      <c r="G64" s="229"/>
      <c r="H64" s="231"/>
      <c r="I64" s="231"/>
      <c r="J64" s="231"/>
      <c r="K64" s="231"/>
      <c r="L64" s="231"/>
      <c r="M64" s="231"/>
      <c r="N64" s="231"/>
      <c r="O64" s="231"/>
      <c r="P64" s="231"/>
      <c r="Q64" s="231"/>
    </row>
    <row r="65" spans="2:18">
      <c r="B65" s="186" t="s">
        <v>64</v>
      </c>
      <c r="D65" s="405" t="s">
        <v>418</v>
      </c>
      <c r="E65" s="406"/>
      <c r="F65" s="407"/>
      <c r="G65" s="408"/>
      <c r="H65" s="409"/>
      <c r="I65" s="406"/>
      <c r="J65" s="410"/>
      <c r="K65" s="406"/>
      <c r="L65" s="406"/>
      <c r="M65" s="406"/>
      <c r="N65" s="406"/>
      <c r="O65" s="406"/>
      <c r="P65" s="406"/>
      <c r="Q65" s="406"/>
    </row>
    <row r="66" spans="2:18">
      <c r="D66" s="233" t="s">
        <v>419</v>
      </c>
      <c r="E66" s="233"/>
      <c r="F66" s="233"/>
      <c r="G66" s="234"/>
      <c r="H66" s="235"/>
      <c r="I66" s="235"/>
      <c r="J66" s="235"/>
      <c r="K66" s="235"/>
      <c r="L66" s="235"/>
      <c r="M66" s="235"/>
      <c r="N66" s="235"/>
      <c r="O66" s="236"/>
      <c r="P66" s="236"/>
      <c r="Q66" s="236"/>
    </row>
    <row r="67" spans="2:18">
      <c r="D67" s="237" t="s">
        <v>420</v>
      </c>
      <c r="E67" s="237"/>
      <c r="F67" s="237"/>
      <c r="G67" s="229" t="s">
        <v>398</v>
      </c>
      <c r="H67" s="238"/>
      <c r="I67" s="238"/>
      <c r="J67" s="238"/>
      <c r="K67" s="238"/>
      <c r="L67" s="238"/>
      <c r="M67" s="218">
        <f>L69</f>
        <v>-28.716000000000001</v>
      </c>
      <c r="N67" s="218">
        <f ca="1">M69</f>
        <v>-45.522658045416499</v>
      </c>
      <c r="O67" s="218">
        <f ca="1">N69</f>
        <v>-78.09819058231605</v>
      </c>
      <c r="P67" s="218">
        <f ca="1">O69</f>
        <v>-141.76968754158688</v>
      </c>
      <c r="Q67" s="218">
        <f ca="1">P69</f>
        <v>-259.8877624116239</v>
      </c>
      <c r="R67" s="263"/>
    </row>
    <row r="68" spans="2:18">
      <c r="D68" s="237" t="s">
        <v>421</v>
      </c>
      <c r="E68" s="237"/>
      <c r="F68" s="237"/>
      <c r="G68" s="229" t="s">
        <v>398</v>
      </c>
      <c r="H68" s="238"/>
      <c r="I68" s="238"/>
      <c r="J68" s="238"/>
      <c r="K68" s="238"/>
      <c r="L68" s="238"/>
      <c r="M68" s="218">
        <f ca="1">SUM(M87,M105,M123,M141,M168)</f>
        <v>-16.806658045416498</v>
      </c>
      <c r="N68" s="218">
        <f ca="1">SUM(N87,N105,N123,N141,N168)</f>
        <v>-32.575532536899551</v>
      </c>
      <c r="O68" s="218">
        <f ca="1">SUM(O87,O105,O123,O141,O168)</f>
        <v>-63.671496959270826</v>
      </c>
      <c r="P68" s="218">
        <f ca="1">SUM(P87,P105,P123,P141,P168)</f>
        <v>-118.11807487003701</v>
      </c>
      <c r="Q68" s="218">
        <f ca="1">SUM(Q87,Q105,Q123,Q141,Q168)</f>
        <v>-221.53829044673768</v>
      </c>
      <c r="R68" s="263"/>
    </row>
    <row r="69" spans="2:18">
      <c r="D69" s="325" t="s">
        <v>422</v>
      </c>
      <c r="E69" s="325"/>
      <c r="F69" s="325"/>
      <c r="G69" s="329" t="s">
        <v>398</v>
      </c>
      <c r="H69" s="330">
        <v>-5.069</v>
      </c>
      <c r="I69" s="330">
        <v>-7.6189999999999998</v>
      </c>
      <c r="J69" s="330">
        <v>-11.96</v>
      </c>
      <c r="K69" s="330">
        <v>-18.032</v>
      </c>
      <c r="L69" s="330">
        <v>-28.716000000000001</v>
      </c>
      <c r="M69" s="327">
        <f ca="1">SUM(M67:M68)</f>
        <v>-45.522658045416499</v>
      </c>
      <c r="N69" s="327">
        <f ca="1">SUM(N67:N68)</f>
        <v>-78.09819058231605</v>
      </c>
      <c r="O69" s="327">
        <f ca="1">SUM(O67:O68)</f>
        <v>-141.76968754158688</v>
      </c>
      <c r="P69" s="327">
        <f ca="1">SUM(P67:P68)</f>
        <v>-259.8877624116239</v>
      </c>
      <c r="Q69" s="327">
        <f ca="1">SUM(Q67:Q68)</f>
        <v>-481.42605285836157</v>
      </c>
      <c r="R69" s="263"/>
    </row>
    <row r="70" spans="2:18">
      <c r="L70" s="239"/>
    </row>
    <row r="71" spans="2:18">
      <c r="D71" s="411" t="s">
        <v>402</v>
      </c>
      <c r="E71" s="411"/>
      <c r="F71" s="411"/>
      <c r="G71" s="412"/>
      <c r="H71" s="413"/>
      <c r="I71" s="413"/>
      <c r="J71" s="413"/>
      <c r="K71" s="413"/>
      <c r="L71" s="413"/>
      <c r="M71" s="413"/>
      <c r="N71" s="413"/>
      <c r="O71" s="414"/>
      <c r="P71" s="414"/>
      <c r="Q71" s="414"/>
    </row>
    <row r="72" spans="2:18">
      <c r="D72" s="215"/>
      <c r="E72" s="215"/>
      <c r="F72" s="215"/>
      <c r="G72" s="223"/>
      <c r="H72" s="215"/>
      <c r="I72" s="215"/>
      <c r="J72" s="215"/>
      <c r="K72" s="215"/>
      <c r="L72" s="215"/>
      <c r="M72" s="215"/>
      <c r="N72" s="215"/>
      <c r="O72" s="215"/>
      <c r="P72" s="215"/>
      <c r="Q72" s="215"/>
    </row>
    <row r="73" spans="2:18">
      <c r="D73" s="240" t="s">
        <v>331</v>
      </c>
      <c r="E73" s="240"/>
      <c r="F73" s="240"/>
      <c r="G73" s="241">
        <f>G16</f>
        <v>5</v>
      </c>
      <c r="H73" s="215"/>
      <c r="I73" s="215"/>
      <c r="J73" s="215"/>
      <c r="K73" s="215"/>
      <c r="L73" s="215"/>
      <c r="M73" s="215"/>
      <c r="N73" s="215"/>
      <c r="O73" s="215"/>
      <c r="P73" s="215"/>
      <c r="Q73" s="215"/>
    </row>
    <row r="74" spans="2:18">
      <c r="D74" s="215"/>
      <c r="E74" s="215"/>
      <c r="F74" s="215"/>
      <c r="G74" s="223"/>
      <c r="H74" s="215"/>
      <c r="I74" s="215"/>
      <c r="J74" s="215"/>
      <c r="K74" s="215"/>
      <c r="L74" s="215"/>
      <c r="M74" s="264"/>
      <c r="N74" s="264"/>
      <c r="O74" s="264"/>
      <c r="P74" s="264"/>
      <c r="Q74" s="264"/>
    </row>
    <row r="75" spans="2:18">
      <c r="D75" s="199" t="s">
        <v>423</v>
      </c>
      <c r="E75" s="199"/>
      <c r="F75" s="199"/>
      <c r="G75" s="229" t="s">
        <v>398</v>
      </c>
      <c r="H75" s="238"/>
      <c r="I75" s="238"/>
      <c r="J75" s="238"/>
      <c r="K75" s="238"/>
      <c r="L75" s="238"/>
      <c r="M75" s="218">
        <f>L78</f>
        <v>2.9089999999999998</v>
      </c>
      <c r="N75" s="218">
        <f ca="1">M78</f>
        <v>5.9940110465782306</v>
      </c>
      <c r="O75" s="218">
        <f t="shared" ref="O75:Q75" ca="1" si="24">N78</f>
        <v>11.702156220786435</v>
      </c>
      <c r="P75" s="218">
        <f t="shared" ca="1" si="24"/>
        <v>22.613384174059671</v>
      </c>
      <c r="Q75" s="218">
        <f t="shared" ca="1" si="24"/>
        <v>42.069147413753456</v>
      </c>
    </row>
    <row r="76" spans="2:18">
      <c r="D76" s="199" t="s">
        <v>322</v>
      </c>
      <c r="E76" s="199"/>
      <c r="F76" s="199"/>
      <c r="G76" s="229" t="s">
        <v>398</v>
      </c>
      <c r="H76" s="238"/>
      <c r="I76" s="238"/>
      <c r="J76" s="238"/>
      <c r="K76" s="238"/>
      <c r="L76" s="238"/>
      <c r="M76" s="232">
        <f ca="1">M45</f>
        <v>4.5835138082227882</v>
      </c>
      <c r="N76" s="232">
        <f ca="1">N45</f>
        <v>9.008309919815952</v>
      </c>
      <c r="O76" s="232">
        <f ca="1">O45</f>
        <v>17.764240873601231</v>
      </c>
      <c r="P76" s="232">
        <f ca="1">P45</f>
        <v>32.885970200027224</v>
      </c>
      <c r="Q76" s="232">
        <f ca="1">Q45</f>
        <v>61.101276745759591</v>
      </c>
    </row>
    <row r="77" spans="2:18">
      <c r="D77" s="199" t="s">
        <v>333</v>
      </c>
      <c r="E77" s="199"/>
      <c r="F77" s="199"/>
      <c r="G77" s="242" t="s">
        <v>398</v>
      </c>
      <c r="H77" s="238"/>
      <c r="I77" s="238"/>
      <c r="J77" s="238"/>
      <c r="K77" s="238"/>
      <c r="L77" s="238"/>
      <c r="M77" s="232">
        <f ca="1">M87</f>
        <v>-1.4985027616445576</v>
      </c>
      <c r="N77" s="232">
        <f t="shared" ref="N77:Q77" ca="1" si="25">N87</f>
        <v>-3.3001647456077481</v>
      </c>
      <c r="O77" s="232">
        <f t="shared" ca="1" si="25"/>
        <v>-6.8530129203279948</v>
      </c>
      <c r="P77" s="232">
        <f t="shared" ca="1" si="25"/>
        <v>-13.43020696033344</v>
      </c>
      <c r="Q77" s="232">
        <f t="shared" ca="1" si="25"/>
        <v>-25.650462309485356</v>
      </c>
    </row>
    <row r="78" spans="2:18">
      <c r="D78" s="331" t="s">
        <v>424</v>
      </c>
      <c r="E78" s="331"/>
      <c r="F78" s="331"/>
      <c r="G78" s="229" t="s">
        <v>398</v>
      </c>
      <c r="H78" s="332">
        <f>H35</f>
        <v>0</v>
      </c>
      <c r="I78" s="332">
        <f>I35</f>
        <v>3.468</v>
      </c>
      <c r="J78" s="332">
        <f>J35</f>
        <v>4.3159999999999998</v>
      </c>
      <c r="K78" s="332">
        <f>K35</f>
        <v>4.0330000000000004</v>
      </c>
      <c r="L78" s="332">
        <f>L35</f>
        <v>2.9089999999999998</v>
      </c>
      <c r="M78" s="332">
        <f ca="1">SUM(M75:M77)</f>
        <v>5.9940110465782306</v>
      </c>
      <c r="N78" s="332">
        <f ca="1">SUM(N75:N77)</f>
        <v>11.702156220786435</v>
      </c>
      <c r="O78" s="332">
        <f ca="1">SUM(O75:O77)</f>
        <v>22.613384174059671</v>
      </c>
      <c r="P78" s="332">
        <f ca="1">SUM(P75:P77)</f>
        <v>42.069147413753456</v>
      </c>
      <c r="Q78" s="332">
        <f ca="1">SUM(Q75:Q77)</f>
        <v>77.519961850027698</v>
      </c>
    </row>
    <row r="79" spans="2:18">
      <c r="D79" s="243"/>
      <c r="E79" s="243"/>
      <c r="F79" s="243"/>
      <c r="G79" s="229"/>
      <c r="H79" s="244"/>
      <c r="I79" s="244"/>
      <c r="J79" s="244"/>
      <c r="K79" s="244"/>
      <c r="L79" s="244"/>
      <c r="M79" s="244"/>
      <c r="N79" s="244"/>
      <c r="O79" s="244"/>
      <c r="P79" s="244"/>
      <c r="Q79" s="244"/>
    </row>
    <row r="80" spans="2:18">
      <c r="D80" s="245" t="s">
        <v>325</v>
      </c>
      <c r="E80" s="245"/>
      <c r="F80" s="246" t="s">
        <v>326</v>
      </c>
      <c r="G80" s="247" t="s">
        <v>335</v>
      </c>
      <c r="H80" s="248"/>
      <c r="I80" s="248"/>
      <c r="J80" s="248"/>
      <c r="K80" s="248"/>
      <c r="L80" s="248"/>
      <c r="M80" s="265"/>
      <c r="N80" s="265"/>
      <c r="O80" s="265"/>
      <c r="P80" s="265"/>
      <c r="Q80" s="265"/>
    </row>
    <row r="81" spans="2:17">
      <c r="D81" s="249">
        <v>25</v>
      </c>
      <c r="E81" s="249"/>
      <c r="F81" s="250">
        <f>M75</f>
        <v>2.9089999999999998</v>
      </c>
      <c r="G81" s="251">
        <f>D81+$G$73-1</f>
        <v>29</v>
      </c>
      <c r="H81" s="238"/>
      <c r="I81" s="238"/>
      <c r="J81" s="238"/>
      <c r="K81" s="238"/>
      <c r="L81" s="238"/>
      <c r="M81" s="218">
        <f t="shared" ref="M81:Q86" si="26">IF(AND(M$6&lt;=$G81,M$6&gt;=$D81),IFERROR(-$F81/$G$73,0),0)</f>
        <v>-0.58179999999999998</v>
      </c>
      <c r="N81" s="218">
        <f t="shared" si="26"/>
        <v>-0.58179999999999998</v>
      </c>
      <c r="O81" s="218">
        <f t="shared" si="26"/>
        <v>-0.58179999999999998</v>
      </c>
      <c r="P81" s="218">
        <f t="shared" si="26"/>
        <v>-0.58179999999999998</v>
      </c>
      <c r="Q81" s="218">
        <f t="shared" si="26"/>
        <v>-0.58179999999999998</v>
      </c>
    </row>
    <row r="82" spans="2:17">
      <c r="D82" s="249">
        <v>25</v>
      </c>
      <c r="E82" s="249"/>
      <c r="F82" s="250" cm="1">
        <f t="array" aca="1" ref="F82:F86" ca="1">TRANSPOSE(M76:Q76)</f>
        <v>4.5835138082227882</v>
      </c>
      <c r="G82" s="251">
        <f t="shared" ref="G82:G86" si="27">D82+$G$73-1</f>
        <v>29</v>
      </c>
      <c r="H82" s="238"/>
      <c r="I82" s="238"/>
      <c r="J82" s="238"/>
      <c r="K82" s="238"/>
      <c r="L82" s="238"/>
      <c r="M82" s="218">
        <f t="shared" ca="1" si="26"/>
        <v>-0.91670276164455766</v>
      </c>
      <c r="N82" s="218">
        <f t="shared" ca="1" si="26"/>
        <v>-0.91670276164455766</v>
      </c>
      <c r="O82" s="218">
        <f t="shared" ca="1" si="26"/>
        <v>-0.91670276164455766</v>
      </c>
      <c r="P82" s="218">
        <f t="shared" ca="1" si="26"/>
        <v>-0.91670276164455766</v>
      </c>
      <c r="Q82" s="218">
        <f t="shared" ca="1" si="26"/>
        <v>-0.91670276164455766</v>
      </c>
    </row>
    <row r="83" spans="2:17">
      <c r="D83" s="249">
        <v>26</v>
      </c>
      <c r="E83" s="249"/>
      <c r="F83" s="250">
        <f ca="1"/>
        <v>9.008309919815952</v>
      </c>
      <c r="G83" s="251">
        <f t="shared" si="27"/>
        <v>30</v>
      </c>
      <c r="H83" s="238"/>
      <c r="I83" s="238"/>
      <c r="J83" s="238"/>
      <c r="K83" s="238"/>
      <c r="L83" s="238"/>
      <c r="M83" s="218">
        <f t="shared" si="26"/>
        <v>0</v>
      </c>
      <c r="N83" s="218">
        <f t="shared" ca="1" si="26"/>
        <v>-1.8016619839631904</v>
      </c>
      <c r="O83" s="218">
        <f t="shared" ca="1" si="26"/>
        <v>-1.8016619839631904</v>
      </c>
      <c r="P83" s="218">
        <f t="shared" ca="1" si="26"/>
        <v>-1.8016619839631904</v>
      </c>
      <c r="Q83" s="218">
        <f t="shared" ca="1" si="26"/>
        <v>-1.8016619839631904</v>
      </c>
    </row>
    <row r="84" spans="2:17">
      <c r="D84" s="249">
        <v>27</v>
      </c>
      <c r="E84" s="249"/>
      <c r="F84" s="250">
        <f ca="1"/>
        <v>17.764240873601231</v>
      </c>
      <c r="G84" s="251">
        <f t="shared" si="27"/>
        <v>31</v>
      </c>
      <c r="H84" s="238"/>
      <c r="I84" s="238"/>
      <c r="J84" s="238"/>
      <c r="K84" s="238"/>
      <c r="L84" s="238"/>
      <c r="M84" s="218">
        <f t="shared" si="26"/>
        <v>0</v>
      </c>
      <c r="N84" s="218">
        <f t="shared" si="26"/>
        <v>0</v>
      </c>
      <c r="O84" s="218">
        <f t="shared" ca="1" si="26"/>
        <v>-3.5528481747202463</v>
      </c>
      <c r="P84" s="218">
        <f t="shared" ca="1" si="26"/>
        <v>-3.5528481747202463</v>
      </c>
      <c r="Q84" s="218">
        <f t="shared" ca="1" si="26"/>
        <v>-3.5528481747202463</v>
      </c>
    </row>
    <row r="85" spans="2:17">
      <c r="D85" s="249">
        <v>28</v>
      </c>
      <c r="E85" s="249"/>
      <c r="F85" s="250">
        <f ca="1"/>
        <v>32.885970200027224</v>
      </c>
      <c r="G85" s="251">
        <f t="shared" si="27"/>
        <v>32</v>
      </c>
      <c r="H85" s="238"/>
      <c r="I85" s="238"/>
      <c r="J85" s="238"/>
      <c r="K85" s="238"/>
      <c r="L85" s="238"/>
      <c r="M85" s="218">
        <f t="shared" si="26"/>
        <v>0</v>
      </c>
      <c r="N85" s="218">
        <f t="shared" si="26"/>
        <v>0</v>
      </c>
      <c r="O85" s="218">
        <f t="shared" si="26"/>
        <v>0</v>
      </c>
      <c r="P85" s="218">
        <f t="shared" ca="1" si="26"/>
        <v>-6.5771940400054447</v>
      </c>
      <c r="Q85" s="218">
        <f t="shared" ca="1" si="26"/>
        <v>-6.5771940400054447</v>
      </c>
    </row>
    <row r="86" spans="2:17">
      <c r="D86" s="249">
        <v>29</v>
      </c>
      <c r="E86" s="249"/>
      <c r="F86" s="250">
        <f ca="1"/>
        <v>61.101276745759591</v>
      </c>
      <c r="G86" s="251">
        <f t="shared" si="27"/>
        <v>33</v>
      </c>
      <c r="H86" s="238"/>
      <c r="I86" s="238"/>
      <c r="J86" s="238"/>
      <c r="K86" s="238"/>
      <c r="L86" s="238"/>
      <c r="M86" s="218">
        <f t="shared" si="26"/>
        <v>0</v>
      </c>
      <c r="N86" s="218">
        <f t="shared" si="26"/>
        <v>0</v>
      </c>
      <c r="O86" s="218">
        <f t="shared" si="26"/>
        <v>0</v>
      </c>
      <c r="P86" s="218">
        <f t="shared" si="26"/>
        <v>0</v>
      </c>
      <c r="Q86" s="218">
        <f t="shared" ca="1" si="26"/>
        <v>-12.220255349151918</v>
      </c>
    </row>
    <row r="87" spans="2:17">
      <c r="D87" s="331" t="s">
        <v>336</v>
      </c>
      <c r="E87" s="331"/>
      <c r="F87" s="331"/>
      <c r="G87" s="329" t="s">
        <v>398</v>
      </c>
      <c r="H87" s="333"/>
      <c r="I87" s="333"/>
      <c r="J87" s="333"/>
      <c r="K87" s="333"/>
      <c r="L87" s="333"/>
      <c r="M87" s="327">
        <f ca="1">SUM(M81:M86)</f>
        <v>-1.4985027616445576</v>
      </c>
      <c r="N87" s="327">
        <f ca="1">SUM(N81:N86)</f>
        <v>-3.3001647456077481</v>
      </c>
      <c r="O87" s="327">
        <f ca="1">SUM(O81:O86)</f>
        <v>-6.8530129203279948</v>
      </c>
      <c r="P87" s="327">
        <f ca="1">SUM(P81:P86)</f>
        <v>-13.43020696033344</v>
      </c>
      <c r="Q87" s="327">
        <f ca="1">SUM(Q81:Q86)</f>
        <v>-25.650462309485356</v>
      </c>
    </row>
    <row r="88" spans="2:17">
      <c r="L88" s="239"/>
    </row>
    <row r="89" spans="2:17">
      <c r="B89" s="186" t="s">
        <v>64</v>
      </c>
      <c r="D89" s="411" t="s">
        <v>403</v>
      </c>
      <c r="E89" s="411"/>
      <c r="F89" s="411"/>
      <c r="G89" s="412"/>
      <c r="H89" s="413"/>
      <c r="I89" s="413"/>
      <c r="J89" s="413"/>
      <c r="K89" s="413"/>
      <c r="L89" s="413"/>
      <c r="M89" s="413"/>
      <c r="N89" s="413"/>
      <c r="O89" s="414"/>
      <c r="P89" s="414"/>
      <c r="Q89" s="414"/>
    </row>
    <row r="90" spans="2:17">
      <c r="D90" s="215"/>
      <c r="E90" s="215"/>
      <c r="F90" s="215"/>
      <c r="G90" s="223"/>
      <c r="H90" s="215"/>
      <c r="I90" s="215"/>
      <c r="J90" s="215"/>
      <c r="K90" s="215"/>
      <c r="L90" s="215"/>
      <c r="M90" s="215"/>
      <c r="N90" s="215"/>
      <c r="O90" s="215"/>
      <c r="P90" s="215"/>
      <c r="Q90" s="215"/>
    </row>
    <row r="91" spans="2:17">
      <c r="D91" s="240" t="s">
        <v>331</v>
      </c>
      <c r="E91" s="240"/>
      <c r="F91" s="240"/>
      <c r="G91" s="241">
        <f>G17</f>
        <v>8</v>
      </c>
      <c r="H91" s="215"/>
      <c r="I91" s="215"/>
      <c r="J91" s="215"/>
      <c r="K91" s="215"/>
      <c r="L91" s="215"/>
      <c r="M91" s="215"/>
      <c r="N91" s="215"/>
      <c r="O91" s="215"/>
      <c r="P91" s="215"/>
      <c r="Q91" s="215"/>
    </row>
    <row r="92" spans="2:17">
      <c r="D92" s="215"/>
      <c r="E92" s="215"/>
      <c r="F92" s="215"/>
      <c r="G92" s="223"/>
      <c r="H92" s="215"/>
      <c r="I92" s="215"/>
      <c r="J92" s="215"/>
      <c r="K92" s="215"/>
      <c r="L92" s="215"/>
      <c r="M92" s="264"/>
      <c r="N92" s="264"/>
      <c r="O92" s="264"/>
      <c r="P92" s="264"/>
      <c r="Q92" s="264"/>
    </row>
    <row r="93" spans="2:17">
      <c r="D93" s="199" t="s">
        <v>423</v>
      </c>
      <c r="E93" s="199"/>
      <c r="F93" s="199"/>
      <c r="G93" s="229" t="s">
        <v>398</v>
      </c>
      <c r="H93" s="238"/>
      <c r="I93" s="238"/>
      <c r="J93" s="238"/>
      <c r="K93" s="238"/>
      <c r="L93" s="238"/>
      <c r="M93" s="218">
        <f>L96</f>
        <v>51.874000000000002</v>
      </c>
      <c r="N93" s="218">
        <f ca="1">M96</f>
        <v>80.415550304881734</v>
      </c>
      <c r="O93" s="218">
        <f ca="1">N96</f>
        <v>137.76634342136327</v>
      </c>
      <c r="P93" s="218">
        <f ca="1">O96</f>
        <v>252.19315898885122</v>
      </c>
      <c r="Q93" s="218">
        <f ca="1">P96</f>
        <v>462.78287730642177</v>
      </c>
    </row>
    <row r="94" spans="2:17">
      <c r="D94" s="199" t="s">
        <v>322</v>
      </c>
      <c r="E94" s="199"/>
      <c r="F94" s="199"/>
      <c r="G94" s="229" t="s">
        <v>398</v>
      </c>
      <c r="H94" s="238"/>
      <c r="I94" s="238"/>
      <c r="J94" s="238"/>
      <c r="K94" s="238"/>
      <c r="L94" s="238"/>
      <c r="M94" s="232">
        <f ca="1">M46</f>
        <v>40.029486062721979</v>
      </c>
      <c r="N94" s="232">
        <f ca="1">N46</f>
        <v>78.672832999224909</v>
      </c>
      <c r="O94" s="232">
        <f ca="1">O46</f>
        <v>155.14154908597865</v>
      </c>
      <c r="P94" s="232">
        <f ca="1">P46</f>
        <v>287.20508781264135</v>
      </c>
      <c r="Q94" s="232">
        <f ca="1">Q46</f>
        <v>533.6195783944321</v>
      </c>
    </row>
    <row r="95" spans="2:17">
      <c r="D95" s="199" t="s">
        <v>333</v>
      </c>
      <c r="E95" s="199"/>
      <c r="F95" s="199"/>
      <c r="G95" s="242" t="s">
        <v>398</v>
      </c>
      <c r="H95" s="238"/>
      <c r="I95" s="238"/>
      <c r="J95" s="238"/>
      <c r="K95" s="238"/>
      <c r="L95" s="238"/>
      <c r="M95" s="232">
        <f ca="1">M105</f>
        <v>-11.487935757840248</v>
      </c>
      <c r="N95" s="232">
        <f t="shared" ref="N95:Q95" ca="1" si="28">N105</f>
        <v>-21.322039882743361</v>
      </c>
      <c r="O95" s="232">
        <f t="shared" ca="1" si="28"/>
        <v>-40.714733518490689</v>
      </c>
      <c r="P95" s="232">
        <f t="shared" ca="1" si="28"/>
        <v>-76.615369495070865</v>
      </c>
      <c r="Q95" s="232">
        <f t="shared" ca="1" si="28"/>
        <v>-143.31781679437489</v>
      </c>
    </row>
    <row r="96" spans="2:17">
      <c r="D96" s="331" t="s">
        <v>425</v>
      </c>
      <c r="E96" s="331"/>
      <c r="F96" s="331"/>
      <c r="G96" s="229" t="s">
        <v>398</v>
      </c>
      <c r="H96" s="332">
        <f>H36</f>
        <v>7.0549999999999997</v>
      </c>
      <c r="I96" s="332">
        <f>I36</f>
        <v>13.489000000000001</v>
      </c>
      <c r="J96" s="332">
        <f>J36</f>
        <v>23.652999999999999</v>
      </c>
      <c r="K96" s="332">
        <f>K36</f>
        <v>20.559000000000001</v>
      </c>
      <c r="L96" s="332">
        <f>L36</f>
        <v>51.874000000000002</v>
      </c>
      <c r="M96" s="332">
        <f ca="1">SUM(M93:M95)</f>
        <v>80.415550304881734</v>
      </c>
      <c r="N96" s="332">
        <f ca="1">SUM(N93:N95)</f>
        <v>137.76634342136327</v>
      </c>
      <c r="O96" s="332">
        <f ca="1">SUM(O93:O95)</f>
        <v>252.19315898885122</v>
      </c>
      <c r="P96" s="332">
        <f ca="1">SUM(P93:P95)</f>
        <v>462.78287730642177</v>
      </c>
      <c r="Q96" s="332">
        <f ca="1">SUM(Q93:Q95)</f>
        <v>853.08463890647886</v>
      </c>
    </row>
    <row r="97" spans="2:17">
      <c r="D97" s="243"/>
      <c r="E97" s="243"/>
      <c r="F97" s="243"/>
      <c r="G97" s="229"/>
      <c r="H97" s="244"/>
      <c r="I97" s="244"/>
      <c r="J97" s="244"/>
      <c r="K97" s="244"/>
      <c r="L97" s="244"/>
      <c r="M97" s="244"/>
      <c r="N97" s="244"/>
      <c r="O97" s="244"/>
      <c r="P97" s="244"/>
      <c r="Q97" s="244"/>
    </row>
    <row r="98" spans="2:17">
      <c r="D98" s="245" t="s">
        <v>325</v>
      </c>
      <c r="E98" s="245"/>
      <c r="F98" s="246" t="s">
        <v>326</v>
      </c>
      <c r="G98" s="247" t="s">
        <v>335</v>
      </c>
      <c r="H98" s="248"/>
      <c r="I98" s="248"/>
      <c r="J98" s="248"/>
      <c r="K98" s="248"/>
      <c r="L98" s="248"/>
      <c r="M98" s="265"/>
      <c r="N98" s="265"/>
      <c r="O98" s="265"/>
      <c r="P98" s="265"/>
      <c r="Q98" s="265"/>
    </row>
    <row r="99" spans="2:17">
      <c r="D99" s="249">
        <v>25</v>
      </c>
      <c r="E99" s="249"/>
      <c r="F99" s="250">
        <f>M93</f>
        <v>51.874000000000002</v>
      </c>
      <c r="G99" s="251">
        <f>D99+$G$91-1</f>
        <v>32</v>
      </c>
      <c r="H99" s="238"/>
      <c r="I99" s="238"/>
      <c r="J99" s="238"/>
      <c r="K99" s="238"/>
      <c r="L99" s="238"/>
      <c r="M99" s="218">
        <f t="shared" ref="M99:Q104" si="29">IF(AND(M$6&lt;=$G99,M$6&gt;=$D99),IFERROR(-$F99/$G$91,0),0)</f>
        <v>-6.4842500000000003</v>
      </c>
      <c r="N99" s="218">
        <f t="shared" si="29"/>
        <v>-6.4842500000000003</v>
      </c>
      <c r="O99" s="218">
        <f t="shared" si="29"/>
        <v>-6.4842500000000003</v>
      </c>
      <c r="P99" s="218">
        <f t="shared" si="29"/>
        <v>-6.4842500000000003</v>
      </c>
      <c r="Q99" s="218">
        <f t="shared" si="29"/>
        <v>-6.4842500000000003</v>
      </c>
    </row>
    <row r="100" spans="2:17">
      <c r="D100" s="249">
        <v>25</v>
      </c>
      <c r="E100" s="249"/>
      <c r="F100" s="250" cm="1">
        <f t="array" aca="1" ref="F100:F104" ca="1">TRANSPOSE(M94:Q94)</f>
        <v>40.029486062721979</v>
      </c>
      <c r="G100" s="251">
        <f t="shared" ref="G100:G104" si="30">D100+$G$91-1</f>
        <v>32</v>
      </c>
      <c r="H100" s="238"/>
      <c r="I100" s="238"/>
      <c r="J100" s="238"/>
      <c r="K100" s="238"/>
      <c r="L100" s="238"/>
      <c r="M100" s="218">
        <f t="shared" ca="1" si="29"/>
        <v>-5.0036857578402474</v>
      </c>
      <c r="N100" s="218">
        <f t="shared" ca="1" si="29"/>
        <v>-5.0036857578402474</v>
      </c>
      <c r="O100" s="218">
        <f t="shared" ca="1" si="29"/>
        <v>-5.0036857578402474</v>
      </c>
      <c r="P100" s="218">
        <f t="shared" ca="1" si="29"/>
        <v>-5.0036857578402474</v>
      </c>
      <c r="Q100" s="218">
        <f t="shared" ca="1" si="29"/>
        <v>-5.0036857578402474</v>
      </c>
    </row>
    <row r="101" spans="2:17">
      <c r="D101" s="249">
        <v>26</v>
      </c>
      <c r="E101" s="249"/>
      <c r="F101" s="250">
        <f ca="1"/>
        <v>78.672832999224909</v>
      </c>
      <c r="G101" s="251">
        <f t="shared" si="30"/>
        <v>33</v>
      </c>
      <c r="H101" s="238"/>
      <c r="I101" s="238"/>
      <c r="J101" s="238"/>
      <c r="K101" s="238"/>
      <c r="L101" s="238"/>
      <c r="M101" s="218">
        <f t="shared" si="29"/>
        <v>0</v>
      </c>
      <c r="N101" s="218">
        <f t="shared" ca="1" si="29"/>
        <v>-9.8341041249031136</v>
      </c>
      <c r="O101" s="218">
        <f t="shared" ca="1" si="29"/>
        <v>-9.8341041249031136</v>
      </c>
      <c r="P101" s="218">
        <f t="shared" ca="1" si="29"/>
        <v>-9.8341041249031136</v>
      </c>
      <c r="Q101" s="218">
        <f t="shared" ca="1" si="29"/>
        <v>-9.8341041249031136</v>
      </c>
    </row>
    <row r="102" spans="2:17">
      <c r="D102" s="249">
        <v>27</v>
      </c>
      <c r="E102" s="249"/>
      <c r="F102" s="250">
        <f ca="1"/>
        <v>155.14154908597865</v>
      </c>
      <c r="G102" s="251">
        <f t="shared" si="30"/>
        <v>34</v>
      </c>
      <c r="H102" s="238"/>
      <c r="I102" s="238"/>
      <c r="J102" s="238"/>
      <c r="K102" s="238"/>
      <c r="L102" s="238"/>
      <c r="M102" s="218">
        <f t="shared" si="29"/>
        <v>0</v>
      </c>
      <c r="N102" s="218">
        <f t="shared" si="29"/>
        <v>0</v>
      </c>
      <c r="O102" s="218">
        <f t="shared" ca="1" si="29"/>
        <v>-19.392693635747332</v>
      </c>
      <c r="P102" s="218">
        <f t="shared" ca="1" si="29"/>
        <v>-19.392693635747332</v>
      </c>
      <c r="Q102" s="218">
        <f t="shared" ca="1" si="29"/>
        <v>-19.392693635747332</v>
      </c>
    </row>
    <row r="103" spans="2:17">
      <c r="D103" s="249">
        <v>28</v>
      </c>
      <c r="E103" s="249"/>
      <c r="F103" s="250">
        <f ca="1"/>
        <v>287.20508781264135</v>
      </c>
      <c r="G103" s="251">
        <f t="shared" si="30"/>
        <v>35</v>
      </c>
      <c r="H103" s="238"/>
      <c r="I103" s="238"/>
      <c r="J103" s="238"/>
      <c r="K103" s="238"/>
      <c r="L103" s="238"/>
      <c r="M103" s="218">
        <f t="shared" si="29"/>
        <v>0</v>
      </c>
      <c r="N103" s="218">
        <f t="shared" si="29"/>
        <v>0</v>
      </c>
      <c r="O103" s="218">
        <f t="shared" si="29"/>
        <v>0</v>
      </c>
      <c r="P103" s="218">
        <f t="shared" ca="1" si="29"/>
        <v>-35.900635976580169</v>
      </c>
      <c r="Q103" s="218">
        <f t="shared" ca="1" si="29"/>
        <v>-35.900635976580169</v>
      </c>
    </row>
    <row r="104" spans="2:17">
      <c r="D104" s="249">
        <v>29</v>
      </c>
      <c r="E104" s="249"/>
      <c r="F104" s="250">
        <f ca="1"/>
        <v>533.6195783944321</v>
      </c>
      <c r="G104" s="251">
        <f t="shared" si="30"/>
        <v>36</v>
      </c>
      <c r="H104" s="238"/>
      <c r="I104" s="238"/>
      <c r="J104" s="238"/>
      <c r="K104" s="238"/>
      <c r="L104" s="238"/>
      <c r="M104" s="218">
        <f t="shared" si="29"/>
        <v>0</v>
      </c>
      <c r="N104" s="218">
        <f t="shared" si="29"/>
        <v>0</v>
      </c>
      <c r="O104" s="218">
        <f t="shared" si="29"/>
        <v>0</v>
      </c>
      <c r="P104" s="218">
        <f t="shared" si="29"/>
        <v>0</v>
      </c>
      <c r="Q104" s="218">
        <f t="shared" ca="1" si="29"/>
        <v>-66.702447299304012</v>
      </c>
    </row>
    <row r="105" spans="2:17">
      <c r="D105" s="331" t="s">
        <v>336</v>
      </c>
      <c r="E105" s="331"/>
      <c r="F105" s="331"/>
      <c r="G105" s="329" t="s">
        <v>398</v>
      </c>
      <c r="H105" s="333"/>
      <c r="I105" s="333"/>
      <c r="J105" s="333"/>
      <c r="K105" s="333"/>
      <c r="L105" s="333"/>
      <c r="M105" s="327">
        <f ca="1">SUM(M99:M104)</f>
        <v>-11.487935757840248</v>
      </c>
      <c r="N105" s="327">
        <f ca="1">SUM(N99:N104)</f>
        <v>-21.322039882743361</v>
      </c>
      <c r="O105" s="327">
        <f ca="1">SUM(O99:O104)</f>
        <v>-40.714733518490689</v>
      </c>
      <c r="P105" s="327">
        <f ca="1">SUM(P99:P104)</f>
        <v>-76.615369495070865</v>
      </c>
      <c r="Q105" s="327">
        <f ca="1">SUM(Q99:Q104)</f>
        <v>-143.31781679437489</v>
      </c>
    </row>
    <row r="106" spans="2:17">
      <c r="D106" s="215"/>
      <c r="E106" s="215"/>
      <c r="F106" s="215"/>
      <c r="G106" s="223"/>
      <c r="H106" s="215"/>
      <c r="I106" s="215"/>
      <c r="J106" s="215"/>
      <c r="K106" s="215"/>
      <c r="L106" s="215"/>
      <c r="M106" s="215"/>
      <c r="N106" s="215"/>
      <c r="O106" s="215"/>
      <c r="P106" s="215"/>
      <c r="Q106" s="215"/>
    </row>
    <row r="107" spans="2:17">
      <c r="B107" s="186" t="s">
        <v>64</v>
      </c>
      <c r="D107" s="411" t="s">
        <v>404</v>
      </c>
      <c r="E107" s="411"/>
      <c r="F107" s="411"/>
      <c r="G107" s="412"/>
      <c r="H107" s="413"/>
      <c r="I107" s="413"/>
      <c r="J107" s="413"/>
      <c r="K107" s="413"/>
      <c r="L107" s="413"/>
      <c r="M107" s="413"/>
      <c r="N107" s="413"/>
      <c r="O107" s="414"/>
      <c r="P107" s="414"/>
      <c r="Q107" s="414"/>
    </row>
    <row r="108" spans="2:17">
      <c r="D108" s="215"/>
      <c r="E108" s="215"/>
      <c r="F108" s="215"/>
      <c r="G108" s="223"/>
      <c r="H108" s="215"/>
      <c r="I108" s="215"/>
      <c r="J108" s="215"/>
      <c r="K108" s="215"/>
      <c r="L108" s="215"/>
      <c r="M108" s="215"/>
      <c r="N108" s="215"/>
      <c r="O108" s="215"/>
      <c r="P108" s="215"/>
      <c r="Q108" s="215"/>
    </row>
    <row r="109" spans="2:17">
      <c r="D109" s="240" t="s">
        <v>331</v>
      </c>
      <c r="E109" s="240"/>
      <c r="F109" s="240"/>
      <c r="G109" s="241">
        <f>G18</f>
        <v>5</v>
      </c>
      <c r="H109" s="215"/>
      <c r="I109" s="215"/>
      <c r="J109" s="215"/>
      <c r="K109" s="215"/>
      <c r="L109" s="215"/>
      <c r="M109" s="215"/>
      <c r="N109" s="215"/>
      <c r="O109" s="215"/>
      <c r="P109" s="215"/>
      <c r="Q109" s="215"/>
    </row>
    <row r="111" spans="2:17">
      <c r="D111" s="199" t="s">
        <v>423</v>
      </c>
      <c r="E111" s="199"/>
      <c r="F111" s="199"/>
      <c r="G111" s="229" t="s">
        <v>398</v>
      </c>
      <c r="H111" s="238"/>
      <c r="I111" s="238"/>
      <c r="J111" s="238"/>
      <c r="K111" s="238"/>
      <c r="L111" s="238"/>
      <c r="M111" s="218">
        <f>L114</f>
        <v>0.504</v>
      </c>
      <c r="N111" s="218">
        <f ca="1">M114</f>
        <v>0.74391515197484415</v>
      </c>
      <c r="O111" s="218">
        <f ca="1">N114</f>
        <v>1.2154376855323759</v>
      </c>
      <c r="P111" s="218">
        <f ca="1">O114</f>
        <v>2.1452724645313923</v>
      </c>
      <c r="Q111" s="218">
        <f ca="1">P114</f>
        <v>3.8666248741664218</v>
      </c>
    </row>
    <row r="112" spans="2:17">
      <c r="C112" s="252"/>
      <c r="D112" s="199" t="s">
        <v>322</v>
      </c>
      <c r="E112" s="199"/>
      <c r="F112" s="199"/>
      <c r="G112" s="229" t="s">
        <v>398</v>
      </c>
      <c r="H112" s="238"/>
      <c r="I112" s="238"/>
      <c r="J112" s="238"/>
      <c r="K112" s="238"/>
      <c r="L112" s="238"/>
      <c r="M112" s="257">
        <f ca="1">M47</f>
        <v>0.23991515197484414</v>
      </c>
      <c r="N112" s="257">
        <f ca="1">N47</f>
        <v>0.47152253355753182</v>
      </c>
      <c r="O112" s="257">
        <f ca="1">O47</f>
        <v>0.92983477899901668</v>
      </c>
      <c r="P112" s="257">
        <f ca="1">P47</f>
        <v>1.7213524096350294</v>
      </c>
      <c r="Q112" s="257">
        <f ca="1">Q47</f>
        <v>3.1982279774127811</v>
      </c>
    </row>
    <row r="113" spans="2:17">
      <c r="D113" s="199" t="s">
        <v>333</v>
      </c>
      <c r="E113" s="199"/>
      <c r="F113" s="199"/>
      <c r="G113" s="242" t="s">
        <v>398</v>
      </c>
      <c r="H113" s="238"/>
      <c r="I113" s="238"/>
      <c r="J113" s="238"/>
      <c r="K113" s="238"/>
      <c r="L113" s="238"/>
      <c r="M113" s="232">
        <f ca="1">M123</f>
        <v>-0.14878303039496882</v>
      </c>
      <c r="N113" s="232">
        <f ca="1">N123</f>
        <v>-0.24308753710647518</v>
      </c>
      <c r="O113" s="232">
        <f ca="1">O123</f>
        <v>-0.42905449290627851</v>
      </c>
      <c r="P113" s="232">
        <f ca="1">P123</f>
        <v>-0.77332497483328444</v>
      </c>
      <c r="Q113" s="232">
        <f ca="1">Q123</f>
        <v>-1.4129705703158406</v>
      </c>
    </row>
    <row r="114" spans="2:17">
      <c r="C114" s="252"/>
      <c r="D114" s="331" t="s">
        <v>425</v>
      </c>
      <c r="E114" s="331"/>
      <c r="F114" s="331"/>
      <c r="G114" s="229" t="s">
        <v>398</v>
      </c>
      <c r="H114" s="332">
        <f>H37</f>
        <v>0.20100000000000001</v>
      </c>
      <c r="I114" s="332">
        <f>I37</f>
        <v>0.22600000000000001</v>
      </c>
      <c r="J114" s="332">
        <f>J37</f>
        <v>0.379</v>
      </c>
      <c r="K114" s="332">
        <f>K37</f>
        <v>0.504</v>
      </c>
      <c r="L114" s="332">
        <f>L37</f>
        <v>0.504</v>
      </c>
      <c r="M114" s="244">
        <f ca="1">SUM(M111:M112)</f>
        <v>0.74391515197484415</v>
      </c>
      <c r="N114" s="244">
        <f ca="1">SUM(N111:N112)</f>
        <v>1.2154376855323759</v>
      </c>
      <c r="O114" s="244">
        <f ca="1">SUM(O111:O112)</f>
        <v>2.1452724645313923</v>
      </c>
      <c r="P114" s="244">
        <f ca="1">SUM(P111:P112)</f>
        <v>3.8666248741664218</v>
      </c>
      <c r="Q114" s="244">
        <f ca="1">SUM(Q111:Q112)</f>
        <v>7.0648528515792028</v>
      </c>
    </row>
    <row r="115" spans="2:17">
      <c r="C115" s="252"/>
      <c r="D115" s="215"/>
      <c r="E115" s="215"/>
      <c r="F115" s="215"/>
      <c r="G115" s="223"/>
      <c r="H115" s="215"/>
      <c r="I115" s="215"/>
      <c r="J115" s="215"/>
      <c r="K115" s="215"/>
      <c r="L115" s="215"/>
      <c r="M115" s="264"/>
      <c r="N115" s="264"/>
      <c r="O115" s="264"/>
      <c r="P115" s="264"/>
      <c r="Q115" s="264"/>
    </row>
    <row r="116" spans="2:17">
      <c r="C116" s="252"/>
      <c r="D116" s="245" t="s">
        <v>325</v>
      </c>
      <c r="E116" s="245"/>
      <c r="F116" s="246" t="s">
        <v>326</v>
      </c>
      <c r="G116" s="247" t="s">
        <v>335</v>
      </c>
      <c r="H116" s="248"/>
      <c r="I116" s="248"/>
      <c r="J116" s="248"/>
      <c r="K116" s="248"/>
      <c r="L116" s="248"/>
      <c r="M116" s="265"/>
      <c r="N116" s="265"/>
      <c r="O116" s="265"/>
      <c r="P116" s="265"/>
      <c r="Q116" s="265"/>
    </row>
    <row r="117" spans="2:17">
      <c r="C117" s="252"/>
      <c r="D117" s="249">
        <v>25</v>
      </c>
      <c r="E117" s="249"/>
      <c r="F117" s="250">
        <f>M111</f>
        <v>0.504</v>
      </c>
      <c r="G117" s="251">
        <f>D117+$G$109-1</f>
        <v>29</v>
      </c>
      <c r="H117" s="238"/>
      <c r="I117" s="238"/>
      <c r="J117" s="238"/>
      <c r="K117" s="238"/>
      <c r="L117" s="238"/>
      <c r="M117" s="218">
        <f t="shared" ref="M117:Q122" si="31">IF(AND(M$6&lt;=$G117,M$6&gt;=$D117),IFERROR(-$F117/$G$109,0),0)</f>
        <v>-0.1008</v>
      </c>
      <c r="N117" s="218">
        <f t="shared" si="31"/>
        <v>-0.1008</v>
      </c>
      <c r="O117" s="218">
        <f t="shared" si="31"/>
        <v>-0.1008</v>
      </c>
      <c r="P117" s="218">
        <f t="shared" si="31"/>
        <v>-0.1008</v>
      </c>
      <c r="Q117" s="218">
        <f t="shared" si="31"/>
        <v>-0.1008</v>
      </c>
    </row>
    <row r="118" spans="2:17">
      <c r="C118" s="252"/>
      <c r="D118" s="249">
        <v>25</v>
      </c>
      <c r="E118" s="249"/>
      <c r="F118" s="250" cm="1">
        <f t="array" aca="1" ref="F118:F122" ca="1">TRANSPOSE(M112:Q112)</f>
        <v>0.23991515197484414</v>
      </c>
      <c r="G118" s="251">
        <f t="shared" ref="G118:G122" si="32">D118+$G$109-1</f>
        <v>29</v>
      </c>
      <c r="H118" s="238"/>
      <c r="I118" s="238"/>
      <c r="J118" s="238"/>
      <c r="K118" s="238"/>
      <c r="L118" s="238"/>
      <c r="M118" s="218">
        <f t="shared" ca="1" si="31"/>
        <v>-4.7983030394968831E-2</v>
      </c>
      <c r="N118" s="218">
        <f t="shared" ca="1" si="31"/>
        <v>-4.7983030394968831E-2</v>
      </c>
      <c r="O118" s="218">
        <f t="shared" ca="1" si="31"/>
        <v>-4.7983030394968831E-2</v>
      </c>
      <c r="P118" s="218">
        <f t="shared" ca="1" si="31"/>
        <v>-4.7983030394968831E-2</v>
      </c>
      <c r="Q118" s="218">
        <f t="shared" ca="1" si="31"/>
        <v>-4.7983030394968831E-2</v>
      </c>
    </row>
    <row r="119" spans="2:17">
      <c r="C119" s="252"/>
      <c r="D119" s="249">
        <v>26</v>
      </c>
      <c r="E119" s="249"/>
      <c r="F119" s="250">
        <f ca="1"/>
        <v>0.47152253355753182</v>
      </c>
      <c r="G119" s="251">
        <f t="shared" si="32"/>
        <v>30</v>
      </c>
      <c r="H119" s="238"/>
      <c r="I119" s="238"/>
      <c r="J119" s="238"/>
      <c r="K119" s="238"/>
      <c r="L119" s="238"/>
      <c r="M119" s="218">
        <f t="shared" si="31"/>
        <v>0</v>
      </c>
      <c r="N119" s="218">
        <f t="shared" ca="1" si="31"/>
        <v>-9.4304506711506364E-2</v>
      </c>
      <c r="O119" s="218">
        <f t="shared" ca="1" si="31"/>
        <v>-9.4304506711506364E-2</v>
      </c>
      <c r="P119" s="218">
        <f t="shared" ca="1" si="31"/>
        <v>-9.4304506711506364E-2</v>
      </c>
      <c r="Q119" s="218">
        <f t="shared" ca="1" si="31"/>
        <v>-9.4304506711506364E-2</v>
      </c>
    </row>
    <row r="120" spans="2:17">
      <c r="C120" s="252"/>
      <c r="D120" s="249">
        <v>27</v>
      </c>
      <c r="E120" s="249"/>
      <c r="F120" s="250">
        <f ca="1"/>
        <v>0.92983477899901668</v>
      </c>
      <c r="G120" s="251">
        <f t="shared" si="32"/>
        <v>31</v>
      </c>
      <c r="H120" s="238"/>
      <c r="I120" s="238"/>
      <c r="J120" s="238"/>
      <c r="K120" s="238"/>
      <c r="L120" s="238"/>
      <c r="M120" s="218">
        <f t="shared" si="31"/>
        <v>0</v>
      </c>
      <c r="N120" s="218">
        <f t="shared" si="31"/>
        <v>0</v>
      </c>
      <c r="O120" s="218">
        <f t="shared" ca="1" si="31"/>
        <v>-0.18596695579980332</v>
      </c>
      <c r="P120" s="218">
        <f t="shared" ca="1" si="31"/>
        <v>-0.18596695579980332</v>
      </c>
      <c r="Q120" s="218">
        <f t="shared" ca="1" si="31"/>
        <v>-0.18596695579980332</v>
      </c>
    </row>
    <row r="121" spans="2:17">
      <c r="D121" s="249">
        <v>28</v>
      </c>
      <c r="E121" s="249"/>
      <c r="F121" s="250">
        <f ca="1"/>
        <v>1.7213524096350294</v>
      </c>
      <c r="G121" s="251">
        <f t="shared" si="32"/>
        <v>32</v>
      </c>
      <c r="H121" s="238"/>
      <c r="I121" s="238"/>
      <c r="J121" s="238"/>
      <c r="K121" s="238"/>
      <c r="L121" s="238"/>
      <c r="M121" s="218">
        <f t="shared" si="31"/>
        <v>0</v>
      </c>
      <c r="N121" s="218">
        <f t="shared" si="31"/>
        <v>0</v>
      </c>
      <c r="O121" s="218">
        <f t="shared" si="31"/>
        <v>0</v>
      </c>
      <c r="P121" s="218">
        <f t="shared" ca="1" si="31"/>
        <v>-0.34427048192700588</v>
      </c>
      <c r="Q121" s="218">
        <f t="shared" ca="1" si="31"/>
        <v>-0.34427048192700588</v>
      </c>
    </row>
    <row r="122" spans="2:17">
      <c r="C122" s="252"/>
      <c r="D122" s="249">
        <v>29</v>
      </c>
      <c r="E122" s="249"/>
      <c r="F122" s="250">
        <f ca="1"/>
        <v>3.1982279774127811</v>
      </c>
      <c r="G122" s="251">
        <f t="shared" si="32"/>
        <v>33</v>
      </c>
      <c r="H122" s="238"/>
      <c r="I122" s="238"/>
      <c r="J122" s="238"/>
      <c r="K122" s="238"/>
      <c r="L122" s="238"/>
      <c r="M122" s="218">
        <f t="shared" si="31"/>
        <v>0</v>
      </c>
      <c r="N122" s="218">
        <f t="shared" si="31"/>
        <v>0</v>
      </c>
      <c r="O122" s="218">
        <f t="shared" si="31"/>
        <v>0</v>
      </c>
      <c r="P122" s="218">
        <f t="shared" si="31"/>
        <v>0</v>
      </c>
      <c r="Q122" s="218">
        <f t="shared" ca="1" si="31"/>
        <v>-0.63964559548255617</v>
      </c>
    </row>
    <row r="123" spans="2:17">
      <c r="C123" s="252"/>
      <c r="D123" s="331" t="s">
        <v>336</v>
      </c>
      <c r="E123" s="331"/>
      <c r="F123" s="334"/>
      <c r="G123" s="329" t="s">
        <v>398</v>
      </c>
      <c r="H123" s="333"/>
      <c r="I123" s="333"/>
      <c r="J123" s="333"/>
      <c r="K123" s="333"/>
      <c r="L123" s="333"/>
      <c r="M123" s="327">
        <f ca="1">SUM(M117:M122)</f>
        <v>-0.14878303039496882</v>
      </c>
      <c r="N123" s="327">
        <f ca="1">SUM(N117:N122)</f>
        <v>-0.24308753710647518</v>
      </c>
      <c r="O123" s="327">
        <f ca="1">SUM(O117:O122)</f>
        <v>-0.42905449290627851</v>
      </c>
      <c r="P123" s="327">
        <f ca="1">SUM(P117:P122)</f>
        <v>-0.77332497483328444</v>
      </c>
      <c r="Q123" s="327">
        <f ca="1">SUM(Q117:Q122)</f>
        <v>-1.4129705703158406</v>
      </c>
    </row>
    <row r="124" spans="2:17">
      <c r="C124" s="252"/>
      <c r="D124" s="215"/>
      <c r="E124" s="215"/>
      <c r="F124" s="215"/>
      <c r="G124" s="223"/>
      <c r="H124" s="215"/>
      <c r="I124" s="215"/>
      <c r="J124" s="215"/>
      <c r="K124" s="215"/>
      <c r="L124" s="215"/>
      <c r="M124" s="264"/>
      <c r="N124" s="264"/>
      <c r="O124" s="264"/>
      <c r="P124" s="264"/>
      <c r="Q124" s="264"/>
    </row>
    <row r="125" spans="2:17">
      <c r="B125" s="186" t="s">
        <v>64</v>
      </c>
      <c r="C125" s="252"/>
      <c r="D125" s="411" t="s">
        <v>405</v>
      </c>
      <c r="E125" s="411"/>
      <c r="F125" s="411"/>
      <c r="G125" s="412"/>
      <c r="H125" s="413"/>
      <c r="I125" s="413"/>
      <c r="J125" s="413"/>
      <c r="K125" s="413"/>
      <c r="L125" s="413"/>
      <c r="M125" s="415"/>
      <c r="N125" s="415"/>
      <c r="O125" s="416"/>
      <c r="P125" s="416"/>
      <c r="Q125" s="416"/>
    </row>
    <row r="126" spans="2:17">
      <c r="C126" s="252"/>
      <c r="M126" s="263"/>
      <c r="N126" s="263"/>
      <c r="O126" s="263"/>
      <c r="P126" s="263"/>
      <c r="Q126" s="263"/>
    </row>
    <row r="127" spans="2:17">
      <c r="C127" s="252"/>
      <c r="D127" s="240" t="s">
        <v>331</v>
      </c>
      <c r="E127" s="240"/>
      <c r="F127" s="240"/>
      <c r="G127" s="241">
        <f>G19</f>
        <v>8</v>
      </c>
      <c r="H127" s="215"/>
      <c r="I127" s="215"/>
      <c r="J127" s="215"/>
      <c r="K127" s="215"/>
      <c r="L127" s="215"/>
      <c r="M127" s="264"/>
      <c r="N127" s="264"/>
      <c r="O127" s="264"/>
      <c r="P127" s="264"/>
      <c r="Q127" s="264"/>
    </row>
    <row r="128" spans="2:17">
      <c r="C128" s="252"/>
      <c r="D128" s="215"/>
      <c r="E128" s="215"/>
      <c r="F128" s="215"/>
      <c r="G128" s="223"/>
      <c r="H128" s="215"/>
      <c r="I128" s="215"/>
      <c r="J128" s="215"/>
      <c r="K128" s="215"/>
      <c r="L128" s="215"/>
      <c r="M128" s="264"/>
      <c r="N128" s="264"/>
      <c r="O128" s="264"/>
      <c r="P128" s="264"/>
      <c r="Q128" s="264"/>
    </row>
    <row r="129" spans="2:17">
      <c r="C129" s="252"/>
      <c r="D129" s="199" t="s">
        <v>423</v>
      </c>
      <c r="E129" s="199"/>
      <c r="F129" s="199"/>
      <c r="G129" s="229" t="s">
        <v>398</v>
      </c>
      <c r="H129" s="238"/>
      <c r="I129" s="238"/>
      <c r="J129" s="238"/>
      <c r="K129" s="238"/>
      <c r="L129" s="238"/>
      <c r="M129" s="218">
        <f>L132</f>
        <v>2.3690000000000002</v>
      </c>
      <c r="N129" s="218">
        <f ca="1">M132</f>
        <v>3.8622609434686614</v>
      </c>
      <c r="O129" s="218">
        <f ca="1">N132</f>
        <v>6.8273184963032296</v>
      </c>
      <c r="P129" s="218">
        <f ca="1">O132</f>
        <v>12.708256097386061</v>
      </c>
      <c r="Q129" s="218">
        <f ca="1">P132</f>
        <v>23.501930737061521</v>
      </c>
    </row>
    <row r="130" spans="2:17">
      <c r="D130" s="199" t="s">
        <v>322</v>
      </c>
      <c r="E130" s="199"/>
      <c r="F130" s="199"/>
      <c r="G130" s="229" t="s">
        <v>398</v>
      </c>
      <c r="H130" s="238"/>
      <c r="I130" s="238"/>
      <c r="J130" s="238"/>
      <c r="K130" s="238"/>
      <c r="L130" s="238"/>
      <c r="M130" s="232">
        <f ca="1">M48</f>
        <v>2.045012506821327</v>
      </c>
      <c r="N130" s="232">
        <f ca="1">N48</f>
        <v>4.0192104184996955</v>
      </c>
      <c r="O130" s="232">
        <f ca="1">O48</f>
        <v>7.9258176762833816</v>
      </c>
      <c r="P130" s="232">
        <f ca="1">P48</f>
        <v>14.672633959858299</v>
      </c>
      <c r="Q130" s="232">
        <f ca="1">Q48</f>
        <v>27.261372029394778</v>
      </c>
    </row>
    <row r="131" spans="2:17">
      <c r="D131" s="199" t="s">
        <v>333</v>
      </c>
      <c r="E131" s="199"/>
      <c r="F131" s="199"/>
      <c r="G131" s="242" t="s">
        <v>398</v>
      </c>
      <c r="H131" s="238"/>
      <c r="I131" s="238"/>
      <c r="J131" s="238"/>
      <c r="K131" s="238"/>
      <c r="L131" s="238"/>
      <c r="M131" s="232">
        <f ca="1">M141</f>
        <v>-0.55175156335266595</v>
      </c>
      <c r="N131" s="232">
        <f t="shared" ref="N131:Q131" ca="1" si="33">N141</f>
        <v>-1.0541528656651278</v>
      </c>
      <c r="O131" s="232">
        <f t="shared" ca="1" si="33"/>
        <v>-2.0448800752005507</v>
      </c>
      <c r="P131" s="232">
        <f t="shared" ca="1" si="33"/>
        <v>-3.8789593201828381</v>
      </c>
      <c r="Q131" s="232">
        <f t="shared" ca="1" si="33"/>
        <v>-7.2866308238571857</v>
      </c>
    </row>
    <row r="132" spans="2:17">
      <c r="D132" s="331" t="s">
        <v>425</v>
      </c>
      <c r="E132" s="331"/>
      <c r="F132" s="331"/>
      <c r="G132" s="229" t="s">
        <v>398</v>
      </c>
      <c r="H132" s="332">
        <f>H38</f>
        <v>0.21099999999999999</v>
      </c>
      <c r="I132" s="332">
        <f>I38</f>
        <v>0.80800000000000005</v>
      </c>
      <c r="J132" s="332">
        <f>J38</f>
        <v>1.8680000000000001</v>
      </c>
      <c r="K132" s="332">
        <f>K38</f>
        <v>2.1030000000000002</v>
      </c>
      <c r="L132" s="332">
        <f>L38</f>
        <v>2.3690000000000002</v>
      </c>
      <c r="M132" s="332">
        <f ca="1">SUM(M129:M131)</f>
        <v>3.8622609434686614</v>
      </c>
      <c r="N132" s="332">
        <f ca="1">SUM(N129:N131)</f>
        <v>6.8273184963032296</v>
      </c>
      <c r="O132" s="332">
        <f ca="1">SUM(O129:O131)</f>
        <v>12.708256097386061</v>
      </c>
      <c r="P132" s="332">
        <f ca="1">SUM(P129:P131)</f>
        <v>23.501930737061521</v>
      </c>
      <c r="Q132" s="332">
        <f ca="1">SUM(Q129:Q131)</f>
        <v>43.476671942599111</v>
      </c>
    </row>
    <row r="133" spans="2:17">
      <c r="C133" s="252"/>
      <c r="D133" s="215"/>
      <c r="E133" s="215"/>
      <c r="F133" s="215"/>
      <c r="G133" s="223"/>
      <c r="H133" s="215"/>
      <c r="I133" s="215"/>
      <c r="J133" s="215"/>
      <c r="K133" s="215"/>
      <c r="L133" s="215"/>
      <c r="M133" s="264"/>
      <c r="N133" s="264"/>
      <c r="O133" s="264"/>
      <c r="P133" s="264"/>
      <c r="Q133" s="264"/>
    </row>
    <row r="134" spans="2:17">
      <c r="C134" s="252"/>
      <c r="D134" s="245" t="s">
        <v>325</v>
      </c>
      <c r="E134" s="245"/>
      <c r="F134" s="246" t="s">
        <v>326</v>
      </c>
      <c r="G134" s="247" t="s">
        <v>335</v>
      </c>
      <c r="H134" s="248"/>
      <c r="I134" s="248"/>
      <c r="J134" s="248"/>
      <c r="K134" s="248"/>
      <c r="L134" s="248"/>
      <c r="M134" s="266"/>
      <c r="N134" s="266"/>
      <c r="O134" s="266"/>
      <c r="P134" s="266"/>
      <c r="Q134" s="266"/>
    </row>
    <row r="135" spans="2:17">
      <c r="C135" s="252"/>
      <c r="D135" s="249">
        <v>25</v>
      </c>
      <c r="E135" s="249"/>
      <c r="F135" s="250">
        <f>M129</f>
        <v>2.3690000000000002</v>
      </c>
      <c r="G135" s="251">
        <f>D135+$G$127-1</f>
        <v>32</v>
      </c>
      <c r="H135" s="238"/>
      <c r="I135" s="238"/>
      <c r="J135" s="238"/>
      <c r="K135" s="238"/>
      <c r="L135" s="238"/>
      <c r="M135" s="218">
        <f t="shared" ref="M135:Q140" si="34">IF(AND(M$6&lt;=$G135,M$6&gt;=$D135),IFERROR(-$F135/$G$127,0),0)</f>
        <v>-0.29612500000000003</v>
      </c>
      <c r="N135" s="218">
        <f t="shared" si="34"/>
        <v>-0.29612500000000003</v>
      </c>
      <c r="O135" s="218">
        <f t="shared" si="34"/>
        <v>-0.29612500000000003</v>
      </c>
      <c r="P135" s="218">
        <f t="shared" si="34"/>
        <v>-0.29612500000000003</v>
      </c>
      <c r="Q135" s="218">
        <f t="shared" si="34"/>
        <v>-0.29612500000000003</v>
      </c>
    </row>
    <row r="136" spans="2:17">
      <c r="D136" s="249">
        <v>25</v>
      </c>
      <c r="E136" s="249"/>
      <c r="F136" s="250" cm="1">
        <f t="array" aca="1" ref="F136:F140" ca="1">TRANSPOSE(M130:Q130)</f>
        <v>2.045012506821327</v>
      </c>
      <c r="G136" s="251">
        <f t="shared" ref="G136:G140" si="35">D136+$G$127-1</f>
        <v>32</v>
      </c>
      <c r="H136" s="238"/>
      <c r="I136" s="238"/>
      <c r="J136" s="238"/>
      <c r="K136" s="238"/>
      <c r="L136" s="238"/>
      <c r="M136" s="218">
        <f t="shared" ca="1" si="34"/>
        <v>-0.25562656335266587</v>
      </c>
      <c r="N136" s="218">
        <f t="shared" ca="1" si="34"/>
        <v>-0.25562656335266587</v>
      </c>
      <c r="O136" s="218">
        <f t="shared" ca="1" si="34"/>
        <v>-0.25562656335266587</v>
      </c>
      <c r="P136" s="218">
        <f t="shared" ca="1" si="34"/>
        <v>-0.25562656335266587</v>
      </c>
      <c r="Q136" s="218">
        <f t="shared" ca="1" si="34"/>
        <v>-0.25562656335266587</v>
      </c>
    </row>
    <row r="137" spans="2:17">
      <c r="D137" s="249">
        <v>26</v>
      </c>
      <c r="E137" s="249"/>
      <c r="F137" s="250">
        <f ca="1"/>
        <v>4.0192104184996955</v>
      </c>
      <c r="G137" s="251">
        <f t="shared" si="35"/>
        <v>33</v>
      </c>
      <c r="H137" s="238"/>
      <c r="I137" s="238"/>
      <c r="J137" s="238"/>
      <c r="K137" s="238"/>
      <c r="L137" s="238"/>
      <c r="M137" s="218">
        <f t="shared" si="34"/>
        <v>0</v>
      </c>
      <c r="N137" s="218">
        <f t="shared" ca="1" si="34"/>
        <v>-0.50240130231246194</v>
      </c>
      <c r="O137" s="218">
        <f t="shared" ca="1" si="34"/>
        <v>-0.50240130231246194</v>
      </c>
      <c r="P137" s="218">
        <f t="shared" ca="1" si="34"/>
        <v>-0.50240130231246194</v>
      </c>
      <c r="Q137" s="218">
        <f t="shared" ca="1" si="34"/>
        <v>-0.50240130231246194</v>
      </c>
    </row>
    <row r="138" spans="2:17">
      <c r="D138" s="249">
        <v>27</v>
      </c>
      <c r="E138" s="249"/>
      <c r="F138" s="250">
        <f ca="1"/>
        <v>7.9258176762833816</v>
      </c>
      <c r="G138" s="251">
        <f t="shared" si="35"/>
        <v>34</v>
      </c>
      <c r="H138" s="238"/>
      <c r="I138" s="238"/>
      <c r="J138" s="238"/>
      <c r="K138" s="238"/>
      <c r="L138" s="238"/>
      <c r="M138" s="218">
        <f t="shared" si="34"/>
        <v>0</v>
      </c>
      <c r="N138" s="218">
        <f t="shared" si="34"/>
        <v>0</v>
      </c>
      <c r="O138" s="218">
        <f t="shared" ca="1" si="34"/>
        <v>-0.9907272095354227</v>
      </c>
      <c r="P138" s="218">
        <f t="shared" ca="1" si="34"/>
        <v>-0.9907272095354227</v>
      </c>
      <c r="Q138" s="218">
        <f t="shared" ca="1" si="34"/>
        <v>-0.9907272095354227</v>
      </c>
    </row>
    <row r="139" spans="2:17">
      <c r="D139" s="249">
        <v>28</v>
      </c>
      <c r="E139" s="249"/>
      <c r="F139" s="250">
        <f ca="1"/>
        <v>14.672633959858299</v>
      </c>
      <c r="G139" s="251">
        <f t="shared" si="35"/>
        <v>35</v>
      </c>
      <c r="H139" s="238"/>
      <c r="I139" s="238"/>
      <c r="J139" s="238"/>
      <c r="K139" s="238"/>
      <c r="L139" s="238"/>
      <c r="M139" s="218">
        <f t="shared" si="34"/>
        <v>0</v>
      </c>
      <c r="N139" s="218">
        <f t="shared" si="34"/>
        <v>0</v>
      </c>
      <c r="O139" s="218">
        <f t="shared" si="34"/>
        <v>0</v>
      </c>
      <c r="P139" s="218">
        <f t="shared" ca="1" si="34"/>
        <v>-1.8340792449822874</v>
      </c>
      <c r="Q139" s="218">
        <f t="shared" ca="1" si="34"/>
        <v>-1.8340792449822874</v>
      </c>
    </row>
    <row r="140" spans="2:17">
      <c r="D140" s="249">
        <v>29</v>
      </c>
      <c r="E140" s="249"/>
      <c r="F140" s="250">
        <f ca="1"/>
        <v>27.261372029394778</v>
      </c>
      <c r="G140" s="251">
        <f t="shared" si="35"/>
        <v>36</v>
      </c>
      <c r="H140" s="238"/>
      <c r="I140" s="238"/>
      <c r="J140" s="238"/>
      <c r="K140" s="238"/>
      <c r="L140" s="238"/>
      <c r="M140" s="218">
        <f t="shared" si="34"/>
        <v>0</v>
      </c>
      <c r="N140" s="218">
        <f t="shared" si="34"/>
        <v>0</v>
      </c>
      <c r="O140" s="218">
        <f t="shared" si="34"/>
        <v>0</v>
      </c>
      <c r="P140" s="218">
        <f t="shared" si="34"/>
        <v>0</v>
      </c>
      <c r="Q140" s="218">
        <f t="shared" ca="1" si="34"/>
        <v>-3.4076715036743472</v>
      </c>
    </row>
    <row r="141" spans="2:17">
      <c r="D141" s="331" t="s">
        <v>336</v>
      </c>
      <c r="E141" s="331"/>
      <c r="F141" s="331"/>
      <c r="G141" s="329" t="s">
        <v>398</v>
      </c>
      <c r="H141" s="333"/>
      <c r="I141" s="333"/>
      <c r="J141" s="333"/>
      <c r="K141" s="333"/>
      <c r="L141" s="333"/>
      <c r="M141" s="327">
        <f ca="1">SUM(M135:M140)</f>
        <v>-0.55175156335266595</v>
      </c>
      <c r="N141" s="327">
        <f ca="1">SUM(N135:N140)</f>
        <v>-1.0541528656651278</v>
      </c>
      <c r="O141" s="327">
        <f ca="1">SUM(O135:O140)</f>
        <v>-2.0448800752005507</v>
      </c>
      <c r="P141" s="327">
        <f ca="1">SUM(P135:P140)</f>
        <v>-3.8789593201828381</v>
      </c>
      <c r="Q141" s="327">
        <f ca="1">SUM(Q135:Q140)</f>
        <v>-7.2866308238571857</v>
      </c>
    </row>
    <row r="142" spans="2:17">
      <c r="D142" s="215"/>
      <c r="E142" s="215"/>
      <c r="F142" s="215"/>
      <c r="G142" s="223"/>
      <c r="H142" s="215"/>
      <c r="I142" s="215"/>
      <c r="J142" s="215"/>
      <c r="K142" s="215"/>
      <c r="L142" s="215"/>
      <c r="M142" s="264"/>
      <c r="N142" s="264"/>
      <c r="O142" s="264"/>
      <c r="P142" s="264"/>
      <c r="Q142" s="264"/>
    </row>
    <row r="143" spans="2:17">
      <c r="B143" s="186" t="s">
        <v>64</v>
      </c>
      <c r="D143" s="411" t="s">
        <v>406</v>
      </c>
      <c r="E143" s="411"/>
      <c r="F143" s="411"/>
      <c r="G143" s="412"/>
      <c r="H143" s="413"/>
      <c r="I143" s="413"/>
      <c r="J143" s="413"/>
      <c r="K143" s="413"/>
      <c r="L143" s="413"/>
      <c r="M143" s="415"/>
      <c r="N143" s="415"/>
      <c r="O143" s="416"/>
      <c r="P143" s="416"/>
      <c r="Q143" s="416"/>
    </row>
    <row r="144" spans="2:17">
      <c r="D144" s="215"/>
      <c r="E144" s="215"/>
      <c r="F144" s="215"/>
      <c r="G144" s="223"/>
      <c r="H144" s="215"/>
      <c r="I144" s="215"/>
      <c r="J144" s="215"/>
      <c r="K144" s="215"/>
      <c r="L144" s="215"/>
      <c r="M144" s="264"/>
      <c r="N144" s="264"/>
      <c r="O144" s="264"/>
      <c r="P144" s="264"/>
      <c r="Q144" s="264"/>
    </row>
    <row r="145" spans="4:17">
      <c r="D145" s="240" t="s">
        <v>331</v>
      </c>
      <c r="E145" s="240"/>
      <c r="F145" s="240"/>
      <c r="G145" s="241">
        <f>G22</f>
        <v>0</v>
      </c>
      <c r="H145" s="215"/>
      <c r="I145" s="215"/>
      <c r="J145" s="215"/>
      <c r="K145" s="215"/>
      <c r="L145" s="215"/>
      <c r="M145" s="264"/>
      <c r="N145" s="264"/>
      <c r="O145" s="264"/>
      <c r="P145" s="264"/>
      <c r="Q145" s="264"/>
    </row>
    <row r="146" spans="4:17">
      <c r="M146" s="263"/>
      <c r="N146" s="263"/>
      <c r="O146" s="263"/>
      <c r="P146" s="263"/>
      <c r="Q146" s="263"/>
    </row>
    <row r="147" spans="4:17">
      <c r="D147" s="199" t="s">
        <v>423</v>
      </c>
      <c r="E147" s="199"/>
      <c r="F147" s="199"/>
      <c r="G147" s="229" t="s">
        <v>398</v>
      </c>
      <c r="H147" s="238"/>
      <c r="I147" s="238"/>
      <c r="J147" s="238"/>
      <c r="K147" s="238"/>
      <c r="L147" s="238"/>
      <c r="M147" s="218">
        <f>L149</f>
        <v>9.6739999999999995</v>
      </c>
      <c r="N147" s="218">
        <f>M149</f>
        <v>9.6739999999999995</v>
      </c>
      <c r="O147" s="218">
        <f>N149</f>
        <v>9.6739999999999995</v>
      </c>
      <c r="P147" s="218">
        <f>O149</f>
        <v>9.6739999999999995</v>
      </c>
      <c r="Q147" s="218">
        <f>P149</f>
        <v>9.6739999999999995</v>
      </c>
    </row>
    <row r="148" spans="4:17">
      <c r="D148" s="199" t="s">
        <v>322</v>
      </c>
      <c r="E148" s="199"/>
      <c r="F148" s="199"/>
      <c r="G148" s="229" t="s">
        <v>398</v>
      </c>
      <c r="H148" s="238"/>
      <c r="I148" s="238"/>
      <c r="J148" s="238"/>
      <c r="K148" s="238"/>
      <c r="L148" s="238"/>
      <c r="M148" s="232">
        <f>M49</f>
        <v>0</v>
      </c>
      <c r="N148" s="232">
        <f t="shared" ref="N148:Q148" si="36">N49</f>
        <v>0</v>
      </c>
      <c r="O148" s="232">
        <f t="shared" si="36"/>
        <v>0</v>
      </c>
      <c r="P148" s="232">
        <f t="shared" si="36"/>
        <v>0</v>
      </c>
      <c r="Q148" s="232">
        <f t="shared" si="36"/>
        <v>0</v>
      </c>
    </row>
    <row r="149" spans="4:17">
      <c r="D149" s="331" t="s">
        <v>425</v>
      </c>
      <c r="E149" s="331"/>
      <c r="F149" s="331"/>
      <c r="G149" s="229" t="s">
        <v>398</v>
      </c>
      <c r="H149" s="332">
        <f>H39</f>
        <v>2.7320000000000002</v>
      </c>
      <c r="I149" s="332">
        <f>I39</f>
        <v>2.9329999999999998</v>
      </c>
      <c r="J149" s="332">
        <f>J39</f>
        <v>6.3029999999999999</v>
      </c>
      <c r="K149" s="332">
        <f>K39</f>
        <v>7.718</v>
      </c>
      <c r="L149" s="332">
        <f>L39</f>
        <v>9.6739999999999995</v>
      </c>
      <c r="M149" s="332">
        <f>SUM(M147:M148)</f>
        <v>9.6739999999999995</v>
      </c>
      <c r="N149" s="332">
        <f>SUM(N147:N148)</f>
        <v>9.6739999999999995</v>
      </c>
      <c r="O149" s="332">
        <f>SUM(O147:O148)</f>
        <v>9.6739999999999995</v>
      </c>
      <c r="P149" s="332">
        <f>SUM(P147:P148)</f>
        <v>9.6739999999999995</v>
      </c>
      <c r="Q149" s="332">
        <f>SUM(Q147:Q148)</f>
        <v>9.6739999999999995</v>
      </c>
    </row>
    <row r="150" spans="4:17">
      <c r="D150" s="243"/>
      <c r="E150" s="243"/>
      <c r="F150" s="243"/>
      <c r="G150" s="229"/>
      <c r="H150" s="244"/>
      <c r="I150" s="244"/>
      <c r="J150" s="244"/>
      <c r="K150" s="244"/>
      <c r="L150" s="244"/>
      <c r="M150" s="244"/>
      <c r="N150" s="244"/>
      <c r="O150" s="244"/>
      <c r="P150" s="244"/>
      <c r="Q150" s="244"/>
    </row>
    <row r="151" spans="4:17">
      <c r="M151" s="263"/>
      <c r="N151" s="263"/>
      <c r="O151" s="263"/>
      <c r="P151" s="263"/>
      <c r="Q151" s="263"/>
    </row>
    <row r="152" spans="4:17">
      <c r="D152" s="411" t="s">
        <v>407</v>
      </c>
      <c r="E152" s="411"/>
      <c r="F152" s="411"/>
      <c r="G152" s="412"/>
      <c r="H152" s="413"/>
      <c r="I152" s="413"/>
      <c r="J152" s="413"/>
      <c r="K152" s="413"/>
      <c r="L152" s="413"/>
      <c r="M152" s="415"/>
      <c r="N152" s="415"/>
      <c r="O152" s="416"/>
      <c r="P152" s="416"/>
      <c r="Q152" s="416"/>
    </row>
    <row r="153" spans="4:17">
      <c r="D153" s="215"/>
      <c r="E153" s="215"/>
      <c r="F153" s="215"/>
      <c r="G153" s="223"/>
      <c r="H153" s="215"/>
      <c r="I153" s="215"/>
      <c r="J153" s="215"/>
      <c r="K153" s="215"/>
      <c r="L153" s="215"/>
      <c r="M153" s="264"/>
      <c r="N153" s="264"/>
      <c r="O153" s="264"/>
      <c r="P153" s="264"/>
      <c r="Q153" s="264"/>
    </row>
    <row r="154" spans="4:17">
      <c r="D154" s="240" t="s">
        <v>331</v>
      </c>
      <c r="E154" s="240"/>
      <c r="F154" s="240"/>
      <c r="G154" s="241">
        <f>G21</f>
        <v>3</v>
      </c>
      <c r="H154" s="215"/>
      <c r="I154" s="215"/>
      <c r="J154" s="215"/>
      <c r="K154" s="215"/>
      <c r="L154" s="215"/>
      <c r="M154" s="264"/>
      <c r="N154" s="264"/>
      <c r="O154" s="264"/>
      <c r="P154" s="264"/>
      <c r="Q154" s="264"/>
    </row>
    <row r="155" spans="4:17">
      <c r="M155" s="263"/>
      <c r="N155" s="263"/>
      <c r="O155" s="263"/>
      <c r="P155" s="263"/>
      <c r="Q155" s="263"/>
    </row>
    <row r="156" spans="4:17">
      <c r="D156" s="199" t="s">
        <v>423</v>
      </c>
      <c r="E156" s="199"/>
      <c r="F156" s="199"/>
      <c r="G156" s="229" t="s">
        <v>398</v>
      </c>
      <c r="H156" s="238"/>
      <c r="I156" s="238"/>
      <c r="J156" s="238"/>
      <c r="K156" s="238"/>
      <c r="L156" s="238"/>
      <c r="M156" s="218">
        <f>L159</f>
        <v>9.9550000000000001</v>
      </c>
      <c r="N156" s="218">
        <f ca="1">M159</f>
        <v>12.23338091094635</v>
      </c>
      <c r="O156" s="218">
        <f ca="1">N159</f>
        <v>16.186501125947849</v>
      </c>
      <c r="P156" s="218">
        <f ca="1">O159</f>
        <v>23.477870513307955</v>
      </c>
      <c r="Q156" s="218">
        <f ca="1">P159</f>
        <v>38.787905692057365</v>
      </c>
    </row>
    <row r="157" spans="4:17">
      <c r="D157" s="199" t="s">
        <v>322</v>
      </c>
      <c r="E157" s="199"/>
      <c r="F157" s="199"/>
      <c r="G157" s="229" t="s">
        <v>398</v>
      </c>
      <c r="H157" s="238"/>
      <c r="I157" s="238"/>
      <c r="J157" s="238"/>
      <c r="K157" s="238"/>
      <c r="L157" s="238"/>
      <c r="M157" s="232">
        <f ca="1">M50</f>
        <v>5.3980658431304089</v>
      </c>
      <c r="N157" s="232">
        <f t="shared" ref="N157:Q157" ca="1" si="37">N50</f>
        <v>10.609207720778334</v>
      </c>
      <c r="O157" s="232">
        <f t="shared" ca="1" si="37"/>
        <v>20.921185339705406</v>
      </c>
      <c r="P157" s="232">
        <f t="shared" ca="1" si="37"/>
        <v>38.730249298365983</v>
      </c>
      <c r="Q157" s="232">
        <f t="shared" ca="1" si="37"/>
        <v>71.959795208041697</v>
      </c>
    </row>
    <row r="158" spans="4:17">
      <c r="D158" s="199" t="s">
        <v>333</v>
      </c>
      <c r="E158" s="199"/>
      <c r="F158" s="199"/>
      <c r="G158" s="242" t="s">
        <v>398</v>
      </c>
      <c r="H158" s="238"/>
      <c r="I158" s="238"/>
      <c r="J158" s="238"/>
      <c r="K158" s="238"/>
      <c r="L158" s="238"/>
      <c r="M158" s="232">
        <f ca="1">M168</f>
        <v>-3.1196849321840592</v>
      </c>
      <c r="N158" s="232">
        <f t="shared" ref="N158:Q158" ca="1" si="38">N168</f>
        <v>-6.6560875057768367</v>
      </c>
      <c r="O158" s="232">
        <f t="shared" ca="1" si="38"/>
        <v>-13.629815952345306</v>
      </c>
      <c r="P158" s="232">
        <f t="shared" ca="1" si="38"/>
        <v>-23.420214119616574</v>
      </c>
      <c r="Q158" s="232">
        <f t="shared" ca="1" si="38"/>
        <v>-43.870409948704364</v>
      </c>
    </row>
    <row r="159" spans="4:17">
      <c r="D159" s="331" t="s">
        <v>425</v>
      </c>
      <c r="E159" s="331"/>
      <c r="F159" s="331"/>
      <c r="G159" s="229" t="s">
        <v>398</v>
      </c>
      <c r="H159" s="332">
        <f>H40</f>
        <v>2.7320000000000002</v>
      </c>
      <c r="I159" s="332">
        <f>I40</f>
        <v>3.0529999999999999</v>
      </c>
      <c r="J159" s="332">
        <f>J40</f>
        <v>6.9260000000000002</v>
      </c>
      <c r="K159" s="332">
        <f>K40</f>
        <v>7.0449999999999999</v>
      </c>
      <c r="L159" s="332">
        <f>L40</f>
        <v>9.9550000000000001</v>
      </c>
      <c r="M159" s="332">
        <f ca="1">SUM(M156:M158)</f>
        <v>12.23338091094635</v>
      </c>
      <c r="N159" s="332">
        <f ca="1">SUM(N156:N158)</f>
        <v>16.186501125947849</v>
      </c>
      <c r="O159" s="332">
        <f ca="1">SUM(O156:O158)</f>
        <v>23.477870513307955</v>
      </c>
      <c r="P159" s="332">
        <f ca="1">SUM(P156:P158)</f>
        <v>38.787905692057365</v>
      </c>
      <c r="Q159" s="332">
        <f ca="1">SUM(Q156:Q158)</f>
        <v>66.877290951394698</v>
      </c>
    </row>
    <row r="160" spans="4:17">
      <c r="D160" s="215"/>
      <c r="E160" s="215"/>
      <c r="F160" s="215"/>
      <c r="G160" s="223"/>
      <c r="H160" s="215"/>
      <c r="I160" s="215"/>
      <c r="J160" s="215"/>
      <c r="K160" s="215"/>
      <c r="L160" s="215"/>
      <c r="M160" s="264"/>
      <c r="N160" s="264"/>
      <c r="O160" s="264"/>
      <c r="P160" s="264"/>
      <c r="Q160" s="264"/>
    </row>
    <row r="161" spans="4:17">
      <c r="D161" s="245" t="s">
        <v>325</v>
      </c>
      <c r="E161" s="245"/>
      <c r="F161" s="246" t="s">
        <v>326</v>
      </c>
      <c r="G161" s="247" t="s">
        <v>335</v>
      </c>
      <c r="H161" s="248"/>
      <c r="I161" s="248"/>
      <c r="J161" s="248"/>
      <c r="K161" s="248"/>
      <c r="L161" s="248"/>
      <c r="M161" s="265"/>
      <c r="N161" s="265"/>
      <c r="O161" s="265"/>
      <c r="P161" s="265"/>
      <c r="Q161" s="265"/>
    </row>
    <row r="162" spans="4:17">
      <c r="D162" s="249">
        <v>25</v>
      </c>
      <c r="E162" s="249"/>
      <c r="F162" s="250">
        <f ca="1">M156-M78</f>
        <v>3.9609889534217695</v>
      </c>
      <c r="G162" s="251">
        <f>D162+$G$154-1</f>
        <v>27</v>
      </c>
      <c r="H162" s="238"/>
      <c r="I162" s="238"/>
      <c r="J162" s="238"/>
      <c r="K162" s="238"/>
      <c r="L162" s="238"/>
      <c r="M162" s="218">
        <f t="shared" ref="M162:Q167" ca="1" si="39">IF(AND(M$6&lt;=$G162,M$6&gt;=$D162),IFERROR(-$F162/$G$154,0),0)</f>
        <v>-1.3203296511405898</v>
      </c>
      <c r="N162" s="218">
        <f t="shared" ca="1" si="39"/>
        <v>-1.3203296511405898</v>
      </c>
      <c r="O162" s="218">
        <f t="shared" ca="1" si="39"/>
        <v>-1.3203296511405898</v>
      </c>
      <c r="P162" s="218">
        <f t="shared" si="39"/>
        <v>0</v>
      </c>
      <c r="Q162" s="218">
        <f t="shared" si="39"/>
        <v>0</v>
      </c>
    </row>
    <row r="163" spans="4:17">
      <c r="D163" s="249">
        <v>25</v>
      </c>
      <c r="E163" s="249"/>
      <c r="F163" s="250" cm="1">
        <f t="array" aca="1" ref="F163:F167" ca="1">TRANSPOSE(M157:Q157)</f>
        <v>5.3980658431304089</v>
      </c>
      <c r="G163" s="251">
        <f t="shared" ref="G163:G167" si="40">D163+$G$154-1</f>
        <v>27</v>
      </c>
      <c r="H163" s="238"/>
      <c r="I163" s="238"/>
      <c r="J163" s="238"/>
      <c r="K163" s="238"/>
      <c r="L163" s="238"/>
      <c r="M163" s="218">
        <f t="shared" ca="1" si="39"/>
        <v>-1.7993552810434696</v>
      </c>
      <c r="N163" s="218">
        <f t="shared" ca="1" si="39"/>
        <v>-1.7993552810434696</v>
      </c>
      <c r="O163" s="218">
        <f t="shared" ca="1" si="39"/>
        <v>-1.7993552810434696</v>
      </c>
      <c r="P163" s="218">
        <f t="shared" si="39"/>
        <v>0</v>
      </c>
      <c r="Q163" s="218">
        <f t="shared" si="39"/>
        <v>0</v>
      </c>
    </row>
    <row r="164" spans="4:17">
      <c r="D164" s="249">
        <v>26</v>
      </c>
      <c r="E164" s="249"/>
      <c r="F164" s="250">
        <f ca="1"/>
        <v>10.609207720778334</v>
      </c>
      <c r="G164" s="251">
        <f t="shared" si="40"/>
        <v>28</v>
      </c>
      <c r="H164" s="238"/>
      <c r="I164" s="238"/>
      <c r="J164" s="238"/>
      <c r="K164" s="238"/>
      <c r="L164" s="238"/>
      <c r="M164" s="218">
        <f t="shared" si="39"/>
        <v>0</v>
      </c>
      <c r="N164" s="218">
        <f t="shared" ca="1" si="39"/>
        <v>-3.536402573592778</v>
      </c>
      <c r="O164" s="218">
        <f t="shared" ca="1" si="39"/>
        <v>-3.536402573592778</v>
      </c>
      <c r="P164" s="218">
        <f t="shared" ca="1" si="39"/>
        <v>-3.536402573592778</v>
      </c>
      <c r="Q164" s="218">
        <f t="shared" si="39"/>
        <v>0</v>
      </c>
    </row>
    <row r="165" spans="4:17">
      <c r="D165" s="249">
        <v>27</v>
      </c>
      <c r="E165" s="249"/>
      <c r="F165" s="250">
        <f ca="1"/>
        <v>20.921185339705406</v>
      </c>
      <c r="G165" s="251">
        <f t="shared" si="40"/>
        <v>29</v>
      </c>
      <c r="H165" s="238"/>
      <c r="I165" s="238"/>
      <c r="J165" s="238"/>
      <c r="K165" s="238"/>
      <c r="L165" s="238"/>
      <c r="M165" s="218">
        <f t="shared" si="39"/>
        <v>0</v>
      </c>
      <c r="N165" s="218">
        <f t="shared" si="39"/>
        <v>0</v>
      </c>
      <c r="O165" s="218">
        <f t="shared" ca="1" si="39"/>
        <v>-6.9737284465684688</v>
      </c>
      <c r="P165" s="218">
        <f t="shared" ca="1" si="39"/>
        <v>-6.9737284465684688</v>
      </c>
      <c r="Q165" s="218">
        <f t="shared" ca="1" si="39"/>
        <v>-6.9737284465684688</v>
      </c>
    </row>
    <row r="166" spans="4:17">
      <c r="D166" s="249">
        <v>28</v>
      </c>
      <c r="E166" s="249"/>
      <c r="F166" s="250">
        <f ca="1"/>
        <v>38.730249298365983</v>
      </c>
      <c r="G166" s="251">
        <f t="shared" si="40"/>
        <v>30</v>
      </c>
      <c r="H166" s="238"/>
      <c r="I166" s="238"/>
      <c r="J166" s="238"/>
      <c r="K166" s="238"/>
      <c r="L166" s="238"/>
      <c r="M166" s="218">
        <f t="shared" si="39"/>
        <v>0</v>
      </c>
      <c r="N166" s="218">
        <f t="shared" si="39"/>
        <v>0</v>
      </c>
      <c r="O166" s="218">
        <f t="shared" si="39"/>
        <v>0</v>
      </c>
      <c r="P166" s="218">
        <f t="shared" ca="1" si="39"/>
        <v>-12.910083099455328</v>
      </c>
      <c r="Q166" s="218">
        <f t="shared" ca="1" si="39"/>
        <v>-12.910083099455328</v>
      </c>
    </row>
    <row r="167" spans="4:17">
      <c r="D167" s="249">
        <v>29</v>
      </c>
      <c r="E167" s="249"/>
      <c r="F167" s="250">
        <f ca="1"/>
        <v>71.959795208041697</v>
      </c>
      <c r="G167" s="251">
        <f t="shared" si="40"/>
        <v>31</v>
      </c>
      <c r="H167" s="238"/>
      <c r="I167" s="238"/>
      <c r="J167" s="238"/>
      <c r="K167" s="238"/>
      <c r="L167" s="238"/>
      <c r="M167" s="218">
        <f t="shared" si="39"/>
        <v>0</v>
      </c>
      <c r="N167" s="218">
        <f t="shared" si="39"/>
        <v>0</v>
      </c>
      <c r="O167" s="218">
        <f t="shared" si="39"/>
        <v>0</v>
      </c>
      <c r="P167" s="218">
        <f t="shared" si="39"/>
        <v>0</v>
      </c>
      <c r="Q167" s="218">
        <f t="shared" ca="1" si="39"/>
        <v>-23.986598402680567</v>
      </c>
    </row>
    <row r="168" spans="4:17">
      <c r="D168" s="331" t="s">
        <v>336</v>
      </c>
      <c r="E168" s="331"/>
      <c r="F168" s="331"/>
      <c r="G168" s="329" t="s">
        <v>398</v>
      </c>
      <c r="H168" s="333"/>
      <c r="I168" s="333"/>
      <c r="J168" s="333"/>
      <c r="K168" s="333"/>
      <c r="L168" s="333"/>
      <c r="M168" s="327">
        <f ca="1">SUM(M162:M167)</f>
        <v>-3.1196849321840592</v>
      </c>
      <c r="N168" s="327">
        <f ca="1">SUM(N162:N167)</f>
        <v>-6.6560875057768367</v>
      </c>
      <c r="O168" s="327">
        <f ca="1">SUM(O162:O167)</f>
        <v>-13.629815952345306</v>
      </c>
      <c r="P168" s="327">
        <f ca="1">SUM(P162:P167)</f>
        <v>-23.420214119616574</v>
      </c>
      <c r="Q168" s="327">
        <f ca="1">SUM(Q162:Q167)</f>
        <v>-43.870409948704364</v>
      </c>
    </row>
    <row r="169" spans="4:17">
      <c r="D169" s="254"/>
      <c r="E169" s="256"/>
      <c r="F169" s="255"/>
      <c r="G169" s="253"/>
      <c r="H169" s="254"/>
      <c r="I169" s="254"/>
      <c r="J169" s="254"/>
      <c r="K169" s="254"/>
      <c r="L169" s="254"/>
      <c r="M169" s="267"/>
      <c r="N169" s="267"/>
      <c r="O169" s="267"/>
      <c r="P169" s="267"/>
      <c r="Q169" s="267"/>
    </row>
    <row r="170" spans="4:17">
      <c r="D170" s="411" t="s">
        <v>408</v>
      </c>
      <c r="E170" s="411"/>
      <c r="F170" s="411"/>
      <c r="G170" s="412"/>
      <c r="H170" s="413"/>
      <c r="I170" s="413"/>
      <c r="J170" s="413"/>
      <c r="K170" s="413"/>
      <c r="L170" s="413"/>
      <c r="M170" s="415"/>
      <c r="N170" s="415"/>
      <c r="O170" s="416"/>
      <c r="P170" s="416"/>
      <c r="Q170" s="416"/>
    </row>
    <row r="171" spans="4:17">
      <c r="D171" s="215"/>
      <c r="E171" s="215"/>
      <c r="F171" s="215"/>
      <c r="G171" s="223"/>
      <c r="H171" s="215"/>
      <c r="I171" s="215"/>
      <c r="J171" s="215"/>
      <c r="K171" s="215"/>
      <c r="L171" s="215"/>
      <c r="M171" s="264"/>
      <c r="N171" s="264"/>
      <c r="O171" s="264"/>
      <c r="P171" s="264"/>
      <c r="Q171" s="264"/>
    </row>
    <row r="172" spans="4:17">
      <c r="D172" s="240" t="s">
        <v>331</v>
      </c>
      <c r="E172" s="240"/>
      <c r="F172" s="240"/>
      <c r="G172" s="241">
        <f>G22</f>
        <v>0</v>
      </c>
      <c r="H172" s="215"/>
      <c r="I172" s="215"/>
      <c r="J172" s="215"/>
      <c r="K172" s="215"/>
      <c r="L172" s="215"/>
      <c r="M172" s="264"/>
      <c r="N172" s="264"/>
      <c r="O172" s="264"/>
      <c r="P172" s="264"/>
      <c r="Q172" s="264"/>
    </row>
    <row r="173" spans="4:17">
      <c r="M173" s="263"/>
      <c r="N173" s="263"/>
      <c r="O173" s="263"/>
      <c r="P173" s="263"/>
      <c r="Q173" s="263"/>
    </row>
    <row r="174" spans="4:17">
      <c r="D174" s="199" t="s">
        <v>423</v>
      </c>
      <c r="E174" s="199"/>
      <c r="F174" s="199"/>
      <c r="G174" s="229" t="s">
        <v>398</v>
      </c>
      <c r="H174" s="238"/>
      <c r="I174" s="238"/>
      <c r="J174" s="238"/>
      <c r="K174" s="238"/>
      <c r="L174" s="238"/>
      <c r="M174" s="218">
        <f>L176</f>
        <v>0</v>
      </c>
      <c r="N174" s="218">
        <f ca="1">M176</f>
        <v>-5.6675857023034659</v>
      </c>
      <c r="O174" s="218">
        <f ca="1">N176</f>
        <v>-16.806500220652779</v>
      </c>
      <c r="P174" s="218">
        <f ca="1">O176</f>
        <v>-38.772258763122394</v>
      </c>
      <c r="Q174" s="218">
        <f ca="1">P176</f>
        <v>-79.436269456769821</v>
      </c>
    </row>
    <row r="175" spans="4:17">
      <c r="D175" s="199" t="s">
        <v>322</v>
      </c>
      <c r="E175" s="199"/>
      <c r="F175" s="199"/>
      <c r="G175" s="229" t="s">
        <v>398</v>
      </c>
      <c r="H175" s="238"/>
      <c r="I175" s="238"/>
      <c r="J175" s="238"/>
      <c r="K175" s="238"/>
      <c r="L175" s="238"/>
      <c r="M175" s="232">
        <f ca="1">M51</f>
        <v>-5.6675857023034659</v>
      </c>
      <c r="N175" s="232">
        <f t="shared" ref="N175:Q175" ca="1" si="41">N51</f>
        <v>-11.138914518349313</v>
      </c>
      <c r="O175" s="232">
        <f t="shared" ca="1" si="41"/>
        <v>-21.965758542469619</v>
      </c>
      <c r="P175" s="232">
        <f t="shared" ca="1" si="41"/>
        <v>-40.664010693647434</v>
      </c>
      <c r="Q175" s="232">
        <f t="shared" ca="1" si="41"/>
        <v>-75.552673552657495</v>
      </c>
    </row>
    <row r="176" spans="4:17">
      <c r="D176" s="331" t="s">
        <v>425</v>
      </c>
      <c r="E176" s="331"/>
      <c r="F176" s="331"/>
      <c r="G176" s="229" t="s">
        <v>398</v>
      </c>
      <c r="H176" s="332">
        <f>H41</f>
        <v>2.7320000000000002</v>
      </c>
      <c r="I176" s="332">
        <f>I41</f>
        <v>0</v>
      </c>
      <c r="J176" s="332">
        <f>J41</f>
        <v>0</v>
      </c>
      <c r="K176" s="332">
        <f>K41</f>
        <v>17.957999999999998</v>
      </c>
      <c r="L176" s="332">
        <f>L41</f>
        <v>0</v>
      </c>
      <c r="M176" s="332">
        <f ca="1">SUM(M174:M175)</f>
        <v>-5.6675857023034659</v>
      </c>
      <c r="N176" s="332">
        <f ca="1">SUM(N174:N175)</f>
        <v>-16.806500220652779</v>
      </c>
      <c r="O176" s="332">
        <f ca="1">SUM(O174:O175)</f>
        <v>-38.772258763122394</v>
      </c>
      <c r="P176" s="332">
        <f ca="1">SUM(P174:P175)</f>
        <v>-79.436269456769821</v>
      </c>
      <c r="Q176" s="332">
        <f ca="1">SUM(Q174:Q175)</f>
        <v>-154.98894300942732</v>
      </c>
    </row>
  </sheetData>
  <mergeCells count="2">
    <mergeCell ref="H5:L5"/>
    <mergeCell ref="M5:Q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82814-A4E0-204C-B87D-81A702BDA518}">
  <dimension ref="B1:Q84"/>
  <sheetViews>
    <sheetView topLeftCell="A61" zoomScale="125" zoomScaleNormal="85" workbookViewId="0">
      <selection activeCell="J55" sqref="J55"/>
    </sheetView>
  </sheetViews>
  <sheetFormatPr baseColWidth="10" defaultColWidth="10.6640625" defaultRowHeight="16"/>
  <cols>
    <col min="1" max="3" width="1.6640625" style="57" customWidth="1"/>
    <col min="4" max="4" width="57" style="57" customWidth="1"/>
    <col min="5" max="7" width="10.6640625" style="57"/>
    <col min="8" max="8" width="12" style="57" bestFit="1" customWidth="1"/>
    <col min="9" max="12" width="10.6640625" style="57"/>
    <col min="13" max="13" width="12" style="57" bestFit="1" customWidth="1"/>
    <col min="14" max="16384" width="10.6640625" style="57"/>
  </cols>
  <sheetData>
    <row r="1" spans="2:17" ht="24">
      <c r="B1" s="159"/>
      <c r="C1" s="159"/>
      <c r="D1" s="387" t="s">
        <v>32</v>
      </c>
      <c r="E1" s="374"/>
      <c r="F1" s="374"/>
      <c r="G1" s="374"/>
      <c r="H1" s="374"/>
      <c r="I1" s="374"/>
      <c r="J1" s="374"/>
      <c r="K1" s="374"/>
      <c r="L1" s="374"/>
      <c r="M1" s="374"/>
      <c r="N1" s="374"/>
      <c r="O1" s="374"/>
      <c r="P1" s="374"/>
      <c r="Q1" s="374"/>
    </row>
    <row r="2" spans="2:17">
      <c r="B2" s="159"/>
      <c r="C2" s="159"/>
      <c r="D2" s="369"/>
      <c r="E2" s="374"/>
      <c r="F2" s="374"/>
      <c r="G2" s="374"/>
      <c r="H2" s="374"/>
      <c r="I2" s="374"/>
      <c r="J2" s="374"/>
      <c r="K2" s="374"/>
      <c r="L2" s="374"/>
      <c r="M2" s="374"/>
      <c r="N2" s="374"/>
      <c r="O2" s="374"/>
      <c r="P2" s="374"/>
      <c r="Q2" s="374"/>
    </row>
    <row r="3" spans="2:17">
      <c r="B3" s="159"/>
      <c r="C3" s="159"/>
      <c r="D3" s="369" t="s">
        <v>33</v>
      </c>
      <c r="E3" s="374"/>
      <c r="F3" s="374"/>
      <c r="G3" s="374"/>
      <c r="H3" s="374"/>
      <c r="I3" s="374"/>
      <c r="J3" s="374"/>
      <c r="K3" s="374"/>
      <c r="L3" s="374"/>
      <c r="M3" s="374"/>
      <c r="N3" s="374"/>
      <c r="O3" s="374"/>
      <c r="P3" s="374"/>
      <c r="Q3" s="374"/>
    </row>
    <row r="4" spans="2:17">
      <c r="B4" s="159"/>
      <c r="C4" s="159"/>
      <c r="D4" s="369" t="s">
        <v>34</v>
      </c>
      <c r="E4" s="374" t="str">
        <f>Cover!C11</f>
        <v>Base Case</v>
      </c>
      <c r="F4" s="374"/>
      <c r="G4" s="374"/>
      <c r="H4" s="374"/>
      <c r="I4" s="374"/>
      <c r="J4" s="374"/>
      <c r="K4" s="374"/>
      <c r="L4" s="374"/>
      <c r="M4" s="374"/>
      <c r="N4" s="374"/>
      <c r="O4" s="374"/>
      <c r="P4" s="374"/>
      <c r="Q4" s="374"/>
    </row>
    <row r="5" spans="2:17">
      <c r="B5" s="159"/>
      <c r="C5" s="159"/>
      <c r="D5" s="369"/>
      <c r="E5" s="374"/>
      <c r="F5" s="374"/>
      <c r="G5" s="374"/>
      <c r="H5" s="788" t="s">
        <v>35</v>
      </c>
      <c r="I5" s="788"/>
      <c r="J5" s="788"/>
      <c r="K5" s="788"/>
      <c r="L5" s="788"/>
      <c r="M5" s="788" t="s">
        <v>36</v>
      </c>
      <c r="N5" s="788"/>
      <c r="O5" s="788"/>
      <c r="P5" s="788"/>
      <c r="Q5" s="788"/>
    </row>
    <row r="6" spans="2:17">
      <c r="B6" s="159"/>
      <c r="C6" s="159"/>
      <c r="D6" s="369" t="s">
        <v>37</v>
      </c>
      <c r="E6" s="374"/>
      <c r="F6" s="374"/>
      <c r="G6" s="374" t="s">
        <v>58</v>
      </c>
      <c r="H6" s="417">
        <v>20</v>
      </c>
      <c r="I6" s="417">
        <f t="shared" ref="I6:Q6" si="0">H6+1</f>
        <v>21</v>
      </c>
      <c r="J6" s="417">
        <f t="shared" si="0"/>
        <v>22</v>
      </c>
      <c r="K6" s="417">
        <f t="shared" si="0"/>
        <v>23</v>
      </c>
      <c r="L6" s="417">
        <f t="shared" si="0"/>
        <v>24</v>
      </c>
      <c r="M6" s="418">
        <f t="shared" si="0"/>
        <v>25</v>
      </c>
      <c r="N6" s="418">
        <f t="shared" si="0"/>
        <v>26</v>
      </c>
      <c r="O6" s="418">
        <f t="shared" si="0"/>
        <v>27</v>
      </c>
      <c r="P6" s="418">
        <f t="shared" si="0"/>
        <v>28</v>
      </c>
      <c r="Q6" s="418">
        <f t="shared" si="0"/>
        <v>29</v>
      </c>
    </row>
    <row r="8" spans="2:17">
      <c r="B8" s="59">
        <v>1</v>
      </c>
      <c r="C8" s="59"/>
      <c r="D8" s="374" t="s">
        <v>426</v>
      </c>
      <c r="E8" s="374"/>
      <c r="F8" s="374"/>
      <c r="G8" s="374"/>
      <c r="H8" s="374"/>
      <c r="I8" s="374"/>
      <c r="J8" s="374"/>
      <c r="K8" s="374"/>
      <c r="L8" s="374"/>
      <c r="M8" s="374"/>
      <c r="N8" s="374"/>
      <c r="O8" s="374"/>
      <c r="P8" s="374"/>
      <c r="Q8" s="374"/>
    </row>
    <row r="10" spans="2:17">
      <c r="B10" s="57">
        <v>1</v>
      </c>
      <c r="D10" s="60" t="s">
        <v>426</v>
      </c>
      <c r="E10" s="61"/>
      <c r="F10" s="61"/>
      <c r="G10" s="62" t="s">
        <v>398</v>
      </c>
      <c r="H10" s="182">
        <f>'3FS'!E62</f>
        <v>0.32</v>
      </c>
      <c r="I10" s="182">
        <f>'3FS'!F62</f>
        <v>0.28000000000000003</v>
      </c>
      <c r="J10" s="182">
        <f>'3FS'!G62</f>
        <v>0.24</v>
      </c>
      <c r="K10" s="182">
        <f>'3FS'!H62</f>
        <v>0.29499999999999998</v>
      </c>
      <c r="L10" s="182">
        <f>'3FS'!I62</f>
        <v>0.24</v>
      </c>
      <c r="M10" s="183">
        <f>M31+M48</f>
        <v>0.84480468213457072</v>
      </c>
      <c r="N10" s="183">
        <f>N31+N48</f>
        <v>1.99598719946498</v>
      </c>
      <c r="O10" s="183">
        <f>O31+O48</f>
        <v>4.0376442301613631</v>
      </c>
      <c r="P10" s="183">
        <f>P31+P48</f>
        <v>5.9273358934498939</v>
      </c>
      <c r="Q10" s="183">
        <f>Q31+Q48</f>
        <v>6.9727053148328295</v>
      </c>
    </row>
    <row r="11" spans="2:17">
      <c r="D11" s="57" t="s">
        <v>161</v>
      </c>
      <c r="G11" s="63" t="s">
        <v>60</v>
      </c>
      <c r="H11" s="64"/>
      <c r="I11" s="65">
        <f t="shared" ref="I11:L11" si="1">I10/H10-1</f>
        <v>-0.12499999999999989</v>
      </c>
      <c r="J11" s="65">
        <f t="shared" si="1"/>
        <v>-0.14285714285714302</v>
      </c>
      <c r="K11" s="65">
        <f t="shared" si="1"/>
        <v>0.22916666666666674</v>
      </c>
      <c r="L11" s="65">
        <f t="shared" si="1"/>
        <v>-0.18644067796610164</v>
      </c>
      <c r="M11" s="65">
        <f t="shared" ref="M11" si="2">M10/L10-1</f>
        <v>2.5200195088940447</v>
      </c>
      <c r="N11" s="65">
        <f t="shared" ref="N11" si="3">N10/M10-1</f>
        <v>1.3626611472153689</v>
      </c>
      <c r="O11" s="65">
        <f t="shared" ref="O11" si="4">O10/N10-1</f>
        <v>1.0228808237065072</v>
      </c>
      <c r="P11" s="65">
        <f t="shared" ref="P11" si="5">P10/O10-1</f>
        <v>0.46801836803065977</v>
      </c>
      <c r="Q11" s="65">
        <f t="shared" ref="Q11" si="6">Q10/P10-1</f>
        <v>0.17636412718539196</v>
      </c>
    </row>
    <row r="12" spans="2:17">
      <c r="G12" s="63"/>
      <c r="H12" s="64"/>
      <c r="I12" s="65"/>
      <c r="J12" s="65"/>
      <c r="K12" s="65"/>
      <c r="L12" s="65"/>
      <c r="M12" s="65"/>
      <c r="N12" s="65"/>
      <c r="O12" s="65"/>
      <c r="P12" s="65"/>
      <c r="Q12" s="65"/>
    </row>
    <row r="13" spans="2:17">
      <c r="B13" s="57" t="s">
        <v>64</v>
      </c>
      <c r="D13" s="419" t="s">
        <v>23</v>
      </c>
      <c r="E13" s="372"/>
      <c r="F13" s="420"/>
      <c r="G13" s="421"/>
      <c r="H13" s="422"/>
      <c r="I13" s="372"/>
      <c r="J13" s="423"/>
      <c r="K13" s="372"/>
      <c r="L13" s="372"/>
      <c r="M13" s="372"/>
      <c r="N13" s="372"/>
      <c r="O13" s="372"/>
      <c r="P13" s="372"/>
      <c r="Q13" s="372"/>
    </row>
    <row r="14" spans="2:17">
      <c r="M14" s="160"/>
    </row>
    <row r="15" spans="2:17" ht="19">
      <c r="D15" s="129" t="s">
        <v>399</v>
      </c>
      <c r="E15" s="130" t="s">
        <v>400</v>
      </c>
      <c r="F15" s="130" t="s">
        <v>401</v>
      </c>
      <c r="G15" s="130" t="s">
        <v>144</v>
      </c>
      <c r="H15" s="131"/>
      <c r="I15" s="131"/>
      <c r="J15" s="131"/>
      <c r="K15" s="131"/>
      <c r="L15" s="131"/>
      <c r="M15" s="132"/>
      <c r="N15" s="132"/>
      <c r="O15" s="132"/>
      <c r="P15" s="132"/>
      <c r="Q15" s="132"/>
    </row>
    <row r="16" spans="2:17">
      <c r="D16" s="755" t="s">
        <v>427</v>
      </c>
      <c r="E16" s="133">
        <v>10</v>
      </c>
      <c r="F16" s="133">
        <v>10</v>
      </c>
      <c r="G16" s="134">
        <v>10</v>
      </c>
      <c r="H16" s="135"/>
      <c r="I16" s="135"/>
      <c r="J16" s="135"/>
      <c r="K16" s="135"/>
      <c r="L16" s="135"/>
      <c r="M16" s="756"/>
      <c r="N16" s="756"/>
      <c r="O16" s="756"/>
      <c r="P16" s="756"/>
      <c r="Q16" s="756"/>
    </row>
    <row r="17" spans="2:17">
      <c r="D17" s="755" t="s">
        <v>428</v>
      </c>
      <c r="E17" s="133">
        <v>3</v>
      </c>
      <c r="F17" s="133">
        <v>3</v>
      </c>
      <c r="G17" s="134">
        <v>3</v>
      </c>
      <c r="H17" s="135"/>
      <c r="I17" s="135"/>
      <c r="J17" s="135"/>
      <c r="K17" s="135"/>
      <c r="L17" s="135"/>
      <c r="M17" s="756"/>
      <c r="N17" s="756"/>
      <c r="O17" s="756"/>
      <c r="P17" s="756"/>
      <c r="Q17" s="756"/>
    </row>
    <row r="18" spans="2:17">
      <c r="D18" s="755"/>
      <c r="E18" s="133">
        <v>3</v>
      </c>
      <c r="F18" s="133">
        <v>3</v>
      </c>
      <c r="G18" s="134">
        <f>AVERAGE(E18:F18)</f>
        <v>3</v>
      </c>
      <c r="H18" s="135"/>
      <c r="I18" s="135"/>
      <c r="J18" s="135"/>
      <c r="K18" s="135"/>
      <c r="L18" s="135"/>
      <c r="M18" s="756"/>
      <c r="N18" s="756"/>
      <c r="O18" s="756"/>
      <c r="P18" s="756"/>
      <c r="Q18" s="756"/>
    </row>
    <row r="19" spans="2:17">
      <c r="D19" s="755"/>
      <c r="H19" s="131"/>
      <c r="I19" s="131"/>
      <c r="J19" s="131"/>
      <c r="K19" s="131"/>
      <c r="L19" s="131"/>
      <c r="M19" s="132"/>
      <c r="N19" s="132"/>
      <c r="O19" s="132"/>
      <c r="P19" s="132"/>
      <c r="Q19" s="132"/>
    </row>
    <row r="20" spans="2:17">
      <c r="D20" s="136" t="s">
        <v>356</v>
      </c>
      <c r="E20" s="137"/>
      <c r="F20" s="137"/>
      <c r="G20" s="62" t="s">
        <v>398</v>
      </c>
      <c r="H20" s="138">
        <f>'3FS'!E13</f>
        <v>0.219</v>
      </c>
      <c r="I20" s="138">
        <f>'3FS'!F13</f>
        <v>4.5979999999999999</v>
      </c>
      <c r="J20" s="138">
        <f>'3FS'!G13</f>
        <v>17.923999999999999</v>
      </c>
      <c r="K20" s="138">
        <f>'3FS'!H13</f>
        <v>16.378</v>
      </c>
      <c r="L20" s="138">
        <f>'3FS'!I13</f>
        <v>15.606</v>
      </c>
      <c r="M20" s="138">
        <f>'3FS'!J13</f>
        <v>174.94326000000001</v>
      </c>
      <c r="N20" s="138">
        <f>'3FS'!K13</f>
        <v>769.7380979717999</v>
      </c>
      <c r="O20" s="138">
        <f>'3FS'!L13</f>
        <v>1641.2176299004077</v>
      </c>
      <c r="P20" s="138">
        <f>'3FS'!M13</f>
        <v>2259.9810283825741</v>
      </c>
      <c r="Q20" s="138">
        <f>'3FS'!N13</f>
        <v>2543.712473181959</v>
      </c>
    </row>
    <row r="21" spans="2:17">
      <c r="D21" s="139" t="s">
        <v>161</v>
      </c>
      <c r="E21" s="139"/>
      <c r="F21" s="139"/>
      <c r="G21" s="63" t="s">
        <v>60</v>
      </c>
      <c r="H21" s="131"/>
      <c r="I21" s="131">
        <f>I20/H20-1</f>
        <v>19.995433789954337</v>
      </c>
      <c r="J21" s="131">
        <f t="shared" ref="J21:Q21" si="7">J20/I20-1</f>
        <v>2.8982166159199654</v>
      </c>
      <c r="K21" s="131">
        <f t="shared" si="7"/>
        <v>-8.6253068511492947E-2</v>
      </c>
      <c r="L21" s="131">
        <f t="shared" si="7"/>
        <v>-4.7136402491146701E-2</v>
      </c>
      <c r="M21" s="131">
        <f t="shared" si="7"/>
        <v>10.210000000000001</v>
      </c>
      <c r="N21" s="131">
        <f t="shared" si="7"/>
        <v>3.3999299999999995</v>
      </c>
      <c r="O21" s="131">
        <f t="shared" si="7"/>
        <v>1.1321766899999997</v>
      </c>
      <c r="P21" s="131">
        <f t="shared" si="7"/>
        <v>0.37701483777000022</v>
      </c>
      <c r="Q21" s="131">
        <f t="shared" si="7"/>
        <v>0.12554594097741001</v>
      </c>
    </row>
    <row r="23" spans="2:17">
      <c r="B23" s="57">
        <v>2</v>
      </c>
      <c r="D23" s="60" t="s">
        <v>429</v>
      </c>
      <c r="E23" s="61"/>
      <c r="F23" s="61"/>
      <c r="G23" s="62" t="s">
        <v>398</v>
      </c>
      <c r="H23" s="182"/>
      <c r="I23" s="184">
        <f>I36</f>
        <v>0</v>
      </c>
      <c r="J23" s="184">
        <f t="shared" ref="J23:L23" si="8">J36</f>
        <v>0</v>
      </c>
      <c r="K23" s="184">
        <f t="shared" si="8"/>
        <v>1.38E-2</v>
      </c>
      <c r="L23" s="184">
        <f t="shared" si="8"/>
        <v>0.15819999999999998</v>
      </c>
      <c r="M23" s="757">
        <f>M20*M24</f>
        <v>0.48020702320185615</v>
      </c>
      <c r="N23" s="757">
        <f t="shared" ref="N23:Q23" si="9">N20*N24</f>
        <v>2.1128772875965423</v>
      </c>
      <c r="O23" s="757">
        <f t="shared" si="9"/>
        <v>4.5050277014437734</v>
      </c>
      <c r="P23" s="757">
        <f t="shared" si="9"/>
        <v>6.2034899894529536</v>
      </c>
      <c r="Q23" s="757">
        <f t="shared" si="9"/>
        <v>6.9823129775227679</v>
      </c>
    </row>
    <row r="24" spans="2:17">
      <c r="D24" s="57" t="s">
        <v>430</v>
      </c>
      <c r="I24" s="158">
        <f>I23/I20</f>
        <v>0</v>
      </c>
      <c r="J24" s="158">
        <f t="shared" ref="J24:L24" si="10">J23/J20</f>
        <v>0</v>
      </c>
      <c r="K24" s="158">
        <f t="shared" si="10"/>
        <v>8.425937232873367E-4</v>
      </c>
      <c r="L24" s="158">
        <f t="shared" si="10"/>
        <v>1.0137126746123284E-2</v>
      </c>
      <c r="M24" s="283">
        <f>AVERAGE(I24:L24)</f>
        <v>2.7449301173526554E-3</v>
      </c>
      <c r="N24" s="283">
        <f>M24</f>
        <v>2.7449301173526554E-3</v>
      </c>
      <c r="O24" s="283">
        <f t="shared" ref="O24:Q24" si="11">N24</f>
        <v>2.7449301173526554E-3</v>
      </c>
      <c r="P24" s="283">
        <f t="shared" si="11"/>
        <v>2.7449301173526554E-3</v>
      </c>
      <c r="Q24" s="283">
        <f t="shared" si="11"/>
        <v>2.7449301173526554E-3</v>
      </c>
    </row>
    <row r="26" spans="2:17">
      <c r="D26" s="424" t="s">
        <v>431</v>
      </c>
      <c r="E26" s="372"/>
      <c r="F26" s="372"/>
      <c r="G26" s="372"/>
      <c r="H26" s="372"/>
      <c r="I26" s="372"/>
      <c r="J26" s="372"/>
      <c r="K26" s="372"/>
      <c r="L26" s="372"/>
      <c r="M26" s="372"/>
      <c r="N26" s="372"/>
      <c r="O26" s="372"/>
      <c r="P26" s="372"/>
      <c r="Q26" s="372"/>
    </row>
    <row r="28" spans="2:17">
      <c r="D28" s="161" t="s">
        <v>432</v>
      </c>
    </row>
    <row r="29" spans="2:17">
      <c r="D29" s="147" t="s">
        <v>433</v>
      </c>
      <c r="H29" s="163">
        <v>0.4</v>
      </c>
      <c r="I29" s="163">
        <v>0.4</v>
      </c>
      <c r="J29" s="163">
        <v>0.4</v>
      </c>
      <c r="K29" s="163">
        <v>0.4</v>
      </c>
      <c r="L29" s="163">
        <v>0.4</v>
      </c>
      <c r="M29" s="162">
        <f t="shared" ref="M29:Q30" si="12">L29+M34</f>
        <v>0.4</v>
      </c>
      <c r="N29" s="162">
        <f t="shared" si="12"/>
        <v>0.4</v>
      </c>
      <c r="O29" s="162">
        <f t="shared" si="12"/>
        <v>0.4</v>
      </c>
      <c r="P29" s="162">
        <f t="shared" si="12"/>
        <v>0.4</v>
      </c>
      <c r="Q29" s="162">
        <f t="shared" si="12"/>
        <v>0.4</v>
      </c>
    </row>
    <row r="30" spans="2:17">
      <c r="D30" s="147" t="s">
        <v>434</v>
      </c>
      <c r="H30" s="163">
        <v>0</v>
      </c>
      <c r="I30" s="163">
        <v>0</v>
      </c>
      <c r="J30" s="163">
        <v>0</v>
      </c>
      <c r="K30" s="163">
        <v>1.38E-2</v>
      </c>
      <c r="L30" s="163">
        <v>0.17199999999999999</v>
      </c>
      <c r="M30" s="162">
        <f t="shared" si="12"/>
        <v>0.6522070232018562</v>
      </c>
      <c r="N30" s="162">
        <f t="shared" si="12"/>
        <v>2.7650843107983984</v>
      </c>
      <c r="O30" s="162">
        <f t="shared" si="12"/>
        <v>7.2701120122421719</v>
      </c>
      <c r="P30" s="162">
        <f t="shared" si="12"/>
        <v>13.473602001695125</v>
      </c>
      <c r="Q30" s="162">
        <f t="shared" si="12"/>
        <v>20.455914979217894</v>
      </c>
    </row>
    <row r="31" spans="2:17">
      <c r="D31" s="335" t="s">
        <v>435</v>
      </c>
      <c r="E31" s="336"/>
      <c r="F31" s="336"/>
      <c r="G31" s="336"/>
      <c r="H31" s="337">
        <f t="shared" ref="H31:Q31" si="13">SUM(H29:H30)</f>
        <v>0.4</v>
      </c>
      <c r="I31" s="337">
        <f t="shared" si="13"/>
        <v>0.4</v>
      </c>
      <c r="J31" s="337">
        <f t="shared" si="13"/>
        <v>0.4</v>
      </c>
      <c r="K31" s="337">
        <f t="shared" si="13"/>
        <v>0.4138</v>
      </c>
      <c r="L31" s="337">
        <f t="shared" si="13"/>
        <v>0.57200000000000006</v>
      </c>
      <c r="M31" s="337">
        <f t="shared" si="13"/>
        <v>1.0522070232018561</v>
      </c>
      <c r="N31" s="337">
        <f t="shared" si="13"/>
        <v>3.1650843107983984</v>
      </c>
      <c r="O31" s="337">
        <f t="shared" si="13"/>
        <v>7.6701120122421722</v>
      </c>
      <c r="P31" s="337">
        <f t="shared" si="13"/>
        <v>13.873602001695126</v>
      </c>
      <c r="Q31" s="337">
        <f t="shared" si="13"/>
        <v>20.855914979217893</v>
      </c>
    </row>
    <row r="33" spans="4:17">
      <c r="D33" s="161" t="s">
        <v>436</v>
      </c>
    </row>
    <row r="34" spans="4:17">
      <c r="D34" s="147" t="s">
        <v>433</v>
      </c>
      <c r="H34" s="258"/>
      <c r="I34" s="162">
        <f t="shared" ref="I34:L35" si="14">I29-H29</f>
        <v>0</v>
      </c>
      <c r="J34" s="162">
        <f t="shared" si="14"/>
        <v>0</v>
      </c>
      <c r="K34" s="162">
        <f t="shared" si="14"/>
        <v>0</v>
      </c>
      <c r="L34" s="162">
        <f t="shared" si="14"/>
        <v>0</v>
      </c>
      <c r="M34" s="162">
        <f t="shared" ref="M34:Q35" si="15">M$23*M39</f>
        <v>0</v>
      </c>
      <c r="N34" s="162">
        <f t="shared" si="15"/>
        <v>0</v>
      </c>
      <c r="O34" s="162">
        <f t="shared" si="15"/>
        <v>0</v>
      </c>
      <c r="P34" s="162">
        <f t="shared" si="15"/>
        <v>0</v>
      </c>
      <c r="Q34" s="162">
        <f t="shared" si="15"/>
        <v>0</v>
      </c>
    </row>
    <row r="35" spans="4:17">
      <c r="D35" s="147" t="s">
        <v>434</v>
      </c>
      <c r="H35" s="258"/>
      <c r="I35" s="162">
        <f t="shared" si="14"/>
        <v>0</v>
      </c>
      <c r="J35" s="162">
        <f t="shared" si="14"/>
        <v>0</v>
      </c>
      <c r="K35" s="162">
        <f t="shared" si="14"/>
        <v>1.38E-2</v>
      </c>
      <c r="L35" s="162">
        <f t="shared" si="14"/>
        <v>0.15819999999999998</v>
      </c>
      <c r="M35" s="162">
        <f t="shared" si="15"/>
        <v>0.48020702320185615</v>
      </c>
      <c r="N35" s="162">
        <f t="shared" si="15"/>
        <v>2.1128772875965423</v>
      </c>
      <c r="O35" s="162">
        <f t="shared" si="15"/>
        <v>4.5050277014437734</v>
      </c>
      <c r="P35" s="162">
        <f t="shared" si="15"/>
        <v>6.2034899894529536</v>
      </c>
      <c r="Q35" s="162">
        <f t="shared" si="15"/>
        <v>6.9823129775227679</v>
      </c>
    </row>
    <row r="36" spans="4:17">
      <c r="D36" s="335" t="s">
        <v>437</v>
      </c>
      <c r="E36" s="336"/>
      <c r="F36" s="336"/>
      <c r="G36" s="336"/>
      <c r="H36" s="338"/>
      <c r="I36" s="337">
        <f t="shared" ref="I36:Q36" si="16">SUM(I34:I35)</f>
        <v>0</v>
      </c>
      <c r="J36" s="337">
        <f t="shared" si="16"/>
        <v>0</v>
      </c>
      <c r="K36" s="337">
        <f t="shared" si="16"/>
        <v>1.38E-2</v>
      </c>
      <c r="L36" s="337">
        <f t="shared" si="16"/>
        <v>0.15819999999999998</v>
      </c>
      <c r="M36" s="337">
        <f t="shared" si="16"/>
        <v>0.48020702320185615</v>
      </c>
      <c r="N36" s="337">
        <f t="shared" si="16"/>
        <v>2.1128772875965423</v>
      </c>
      <c r="O36" s="337">
        <f t="shared" si="16"/>
        <v>4.5050277014437734</v>
      </c>
      <c r="P36" s="337">
        <f t="shared" si="16"/>
        <v>6.2034899894529536</v>
      </c>
      <c r="Q36" s="337">
        <f t="shared" si="16"/>
        <v>6.9823129775227679</v>
      </c>
    </row>
    <row r="38" spans="4:17">
      <c r="D38" s="161" t="s">
        <v>438</v>
      </c>
      <c r="I38" s="65"/>
      <c r="J38" s="65"/>
      <c r="K38" s="65"/>
      <c r="L38" s="65"/>
      <c r="M38" s="65"/>
      <c r="N38" s="65"/>
      <c r="O38" s="65"/>
      <c r="P38" s="65"/>
      <c r="Q38" s="65"/>
    </row>
    <row r="39" spans="4:17">
      <c r="D39" s="147" t="s">
        <v>433</v>
      </c>
      <c r="H39" s="259"/>
      <c r="I39" s="65"/>
      <c r="J39" s="65"/>
      <c r="K39" s="65">
        <f>K34/K$36</f>
        <v>0</v>
      </c>
      <c r="L39" s="65">
        <f>L34/L$36</f>
        <v>0</v>
      </c>
      <c r="M39" s="164">
        <f>AVERAGE(I39:L39)</f>
        <v>0</v>
      </c>
      <c r="N39" s="164">
        <f>M39</f>
        <v>0</v>
      </c>
      <c r="O39" s="164">
        <f t="shared" ref="O39:Q39" si="17">N39</f>
        <v>0</v>
      </c>
      <c r="P39" s="164">
        <f t="shared" si="17"/>
        <v>0</v>
      </c>
      <c r="Q39" s="164">
        <f t="shared" si="17"/>
        <v>0</v>
      </c>
    </row>
    <row r="40" spans="4:17">
      <c r="D40" s="147" t="s">
        <v>434</v>
      </c>
      <c r="H40" s="259"/>
      <c r="I40" s="65"/>
      <c r="J40" s="65"/>
      <c r="K40" s="65">
        <f>K35/K$36</f>
        <v>1</v>
      </c>
      <c r="L40" s="65">
        <f>L35/L$36</f>
        <v>1</v>
      </c>
      <c r="M40" s="164">
        <f t="shared" ref="M40" si="18">AVERAGE(I40:L40)</f>
        <v>1</v>
      </c>
      <c r="N40" s="164">
        <f t="shared" ref="N40:Q40" si="19">M40</f>
        <v>1</v>
      </c>
      <c r="O40" s="164">
        <f t="shared" si="19"/>
        <v>1</v>
      </c>
      <c r="P40" s="164">
        <f t="shared" si="19"/>
        <v>1</v>
      </c>
      <c r="Q40" s="164">
        <f t="shared" si="19"/>
        <v>1</v>
      </c>
    </row>
    <row r="41" spans="4:17">
      <c r="D41" s="335" t="s">
        <v>439</v>
      </c>
      <c r="E41" s="336"/>
      <c r="F41" s="336"/>
      <c r="G41" s="336"/>
      <c r="H41" s="339"/>
      <c r="I41" s="340">
        <f t="shared" ref="I41:Q41" si="20">SUM(I39:I40)</f>
        <v>0</v>
      </c>
      <c r="J41" s="340">
        <f t="shared" si="20"/>
        <v>0</v>
      </c>
      <c r="K41" s="340">
        <f t="shared" si="20"/>
        <v>1</v>
      </c>
      <c r="L41" s="340">
        <f t="shared" si="20"/>
        <v>1</v>
      </c>
      <c r="M41" s="340">
        <f t="shared" si="20"/>
        <v>1</v>
      </c>
      <c r="N41" s="340">
        <f t="shared" si="20"/>
        <v>1</v>
      </c>
      <c r="O41" s="340">
        <f t="shared" si="20"/>
        <v>1</v>
      </c>
      <c r="P41" s="340">
        <f t="shared" si="20"/>
        <v>1</v>
      </c>
      <c r="Q41" s="340">
        <f t="shared" si="20"/>
        <v>1</v>
      </c>
    </row>
    <row r="43" spans="4:17">
      <c r="D43" s="425" t="s">
        <v>440</v>
      </c>
      <c r="E43" s="372"/>
      <c r="F43" s="372"/>
      <c r="G43" s="372"/>
      <c r="H43" s="372"/>
      <c r="I43" s="372"/>
      <c r="J43" s="372"/>
      <c r="K43" s="372"/>
      <c r="L43" s="372"/>
      <c r="M43" s="372"/>
      <c r="N43" s="372"/>
      <c r="O43" s="372"/>
      <c r="P43" s="372"/>
      <c r="Q43" s="372"/>
    </row>
    <row r="45" spans="4:17">
      <c r="D45" s="161" t="s">
        <v>441</v>
      </c>
      <c r="H45" s="165"/>
      <c r="I45" s="165"/>
      <c r="J45" s="165"/>
      <c r="K45" s="165"/>
      <c r="L45" s="165"/>
      <c r="M45" s="165"/>
      <c r="N45" s="165"/>
      <c r="O45" s="165"/>
      <c r="P45" s="165"/>
      <c r="Q45" s="165"/>
    </row>
    <row r="46" spans="4:17">
      <c r="D46" s="147" t="s">
        <v>442</v>
      </c>
      <c r="H46" s="258"/>
      <c r="I46" s="258"/>
      <c r="J46" s="258"/>
      <c r="K46" s="258"/>
      <c r="L46" s="258"/>
      <c r="M46" s="162">
        <f>L48</f>
        <v>0.05</v>
      </c>
      <c r="N46" s="162">
        <f t="shared" ref="N46:Q46" si="21">M48</f>
        <v>-0.20740234106728539</v>
      </c>
      <c r="O46" s="162">
        <f t="shared" si="21"/>
        <v>-1.1690971113334183</v>
      </c>
      <c r="P46" s="162">
        <f t="shared" si="21"/>
        <v>-3.6324677820808091</v>
      </c>
      <c r="Q46" s="162">
        <f t="shared" si="21"/>
        <v>-7.9462661082452319</v>
      </c>
    </row>
    <row r="47" spans="4:17">
      <c r="D47" s="147" t="s">
        <v>443</v>
      </c>
      <c r="H47" s="260"/>
      <c r="I47" s="260"/>
      <c r="J47" s="260"/>
      <c r="K47" s="260"/>
      <c r="L47" s="260"/>
      <c r="M47" s="162">
        <f>SUM(M66,M84)</f>
        <v>-0.25740234106728538</v>
      </c>
      <c r="N47" s="162">
        <f t="shared" ref="N47:Q47" si="22">SUM(N66,N84)</f>
        <v>-0.96169477026613281</v>
      </c>
      <c r="O47" s="162">
        <f t="shared" si="22"/>
        <v>-2.4633706707473908</v>
      </c>
      <c r="P47" s="162">
        <f t="shared" si="22"/>
        <v>-4.3137983261644228</v>
      </c>
      <c r="Q47" s="162">
        <f t="shared" si="22"/>
        <v>-5.9369435561398314</v>
      </c>
    </row>
    <row r="48" spans="4:17">
      <c r="D48" s="335" t="s">
        <v>444</v>
      </c>
      <c r="E48" s="336"/>
      <c r="F48" s="336"/>
      <c r="G48" s="336"/>
      <c r="H48" s="341"/>
      <c r="I48" s="341"/>
      <c r="J48" s="341"/>
      <c r="K48" s="341"/>
      <c r="L48" s="341">
        <v>0.05</v>
      </c>
      <c r="M48" s="342">
        <f>SUM(M46:M47)</f>
        <v>-0.20740234106728539</v>
      </c>
      <c r="N48" s="342">
        <f t="shared" ref="N48:Q48" si="23">SUM(N46:N47)</f>
        <v>-1.1690971113334183</v>
      </c>
      <c r="O48" s="342">
        <f t="shared" si="23"/>
        <v>-3.6324677820808091</v>
      </c>
      <c r="P48" s="342">
        <f t="shared" si="23"/>
        <v>-7.9462661082452319</v>
      </c>
      <c r="Q48" s="342">
        <f t="shared" si="23"/>
        <v>-13.883209664385063</v>
      </c>
    </row>
    <row r="50" spans="4:17">
      <c r="D50" s="171" t="s">
        <v>427</v>
      </c>
      <c r="E50" s="172"/>
      <c r="F50" s="172"/>
      <c r="G50" s="172"/>
      <c r="H50" s="172"/>
      <c r="I50" s="172"/>
      <c r="J50" s="172"/>
      <c r="K50" s="172"/>
      <c r="L50" s="172"/>
      <c r="M50" s="172"/>
      <c r="N50" s="172"/>
      <c r="O50" s="172"/>
      <c r="P50" s="172"/>
      <c r="Q50" s="172"/>
    </row>
    <row r="52" spans="4:17">
      <c r="D52" s="69" t="s">
        <v>331</v>
      </c>
      <c r="G52" s="166">
        <f>G16</f>
        <v>10</v>
      </c>
    </row>
    <row r="54" spans="4:17">
      <c r="D54" s="169" t="s">
        <v>423</v>
      </c>
      <c r="H54" s="259"/>
      <c r="I54" s="259"/>
      <c r="J54" s="259"/>
      <c r="K54" s="259"/>
      <c r="L54" s="259"/>
      <c r="M54" s="162">
        <f>L29</f>
        <v>0.4</v>
      </c>
      <c r="N54" s="162">
        <f>M29</f>
        <v>0.4</v>
      </c>
      <c r="O54" s="162">
        <f>N29</f>
        <v>0.4</v>
      </c>
      <c r="P54" s="162">
        <f>O29</f>
        <v>0.4</v>
      </c>
      <c r="Q54" s="162">
        <f>P29</f>
        <v>0.4</v>
      </c>
    </row>
    <row r="55" spans="4:17">
      <c r="D55" s="147" t="s">
        <v>322</v>
      </c>
      <c r="H55" s="259"/>
      <c r="I55" s="259"/>
      <c r="J55" s="259"/>
      <c r="K55" s="259"/>
      <c r="L55" s="259"/>
      <c r="M55" s="170">
        <f>M34</f>
        <v>0</v>
      </c>
      <c r="N55" s="170">
        <f>N34</f>
        <v>0</v>
      </c>
      <c r="O55" s="170">
        <f>O34</f>
        <v>0</v>
      </c>
      <c r="P55" s="170">
        <f>P34</f>
        <v>0</v>
      </c>
      <c r="Q55" s="170">
        <f>Q34</f>
        <v>0</v>
      </c>
    </row>
    <row r="56" spans="4:17">
      <c r="D56" s="147" t="s">
        <v>333</v>
      </c>
      <c r="H56" s="259"/>
      <c r="I56" s="259"/>
      <c r="J56" s="259"/>
      <c r="K56" s="259"/>
      <c r="L56" s="259"/>
      <c r="M56" s="170">
        <f>M66</f>
        <v>-0.04</v>
      </c>
      <c r="N56" s="170">
        <f t="shared" ref="N56:Q56" si="24">N66</f>
        <v>-0.04</v>
      </c>
      <c r="O56" s="170">
        <f t="shared" si="24"/>
        <v>-0.04</v>
      </c>
      <c r="P56" s="170">
        <f t="shared" si="24"/>
        <v>-0.04</v>
      </c>
      <c r="Q56" s="170">
        <f t="shared" si="24"/>
        <v>-0.04</v>
      </c>
    </row>
    <row r="57" spans="4:17">
      <c r="D57" s="335" t="s">
        <v>425</v>
      </c>
      <c r="E57" s="336"/>
      <c r="F57" s="336"/>
      <c r="G57" s="336"/>
      <c r="H57" s="336"/>
      <c r="I57" s="336"/>
      <c r="J57" s="336"/>
      <c r="K57" s="336"/>
      <c r="L57" s="336"/>
      <c r="M57" s="342">
        <f>SUM(M54:M56)</f>
        <v>0.36000000000000004</v>
      </c>
      <c r="N57" s="342">
        <f t="shared" ref="N57:Q57" si="25">SUM(N54:N56)</f>
        <v>0.36000000000000004</v>
      </c>
      <c r="O57" s="342">
        <f t="shared" si="25"/>
        <v>0.36000000000000004</v>
      </c>
      <c r="P57" s="342">
        <f t="shared" si="25"/>
        <v>0.36000000000000004</v>
      </c>
      <c r="Q57" s="342">
        <f t="shared" si="25"/>
        <v>0.36000000000000004</v>
      </c>
    </row>
    <row r="59" spans="4:17">
      <c r="D59" s="161" t="s">
        <v>325</v>
      </c>
      <c r="F59" s="161" t="s">
        <v>326</v>
      </c>
      <c r="G59" s="161" t="s">
        <v>335</v>
      </c>
    </row>
    <row r="60" spans="4:17">
      <c r="D60" s="168">
        <v>25</v>
      </c>
      <c r="F60" s="162">
        <f>M54</f>
        <v>0.4</v>
      </c>
      <c r="G60" s="167">
        <f>D60+$G$52-1</f>
        <v>34</v>
      </c>
      <c r="H60" s="259"/>
      <c r="I60" s="259"/>
      <c r="J60" s="259"/>
      <c r="K60" s="259"/>
      <c r="L60" s="259"/>
      <c r="M60" s="162">
        <f t="shared" ref="M60:Q65" si="26">IF(AND(M$6&lt;=$G60,M$6&gt;=$D60),IFERROR(-$F60/$G$52,0),0)</f>
        <v>-0.04</v>
      </c>
      <c r="N60" s="162">
        <f t="shared" si="26"/>
        <v>-0.04</v>
      </c>
      <c r="O60" s="162">
        <f t="shared" si="26"/>
        <v>-0.04</v>
      </c>
      <c r="P60" s="162">
        <f t="shared" si="26"/>
        <v>-0.04</v>
      </c>
      <c r="Q60" s="162">
        <f t="shared" si="26"/>
        <v>-0.04</v>
      </c>
    </row>
    <row r="61" spans="4:17">
      <c r="D61" s="168">
        <v>25</v>
      </c>
      <c r="F61" s="162" cm="1">
        <f t="array" ref="F61:F65">TRANSPOSE(M55:Q55)</f>
        <v>0</v>
      </c>
      <c r="G61" s="167">
        <f t="shared" ref="G61:G65" si="27">D61+$G$52-1</f>
        <v>34</v>
      </c>
      <c r="H61" s="259"/>
      <c r="I61" s="259"/>
      <c r="J61" s="259"/>
      <c r="K61" s="259"/>
      <c r="L61" s="259"/>
      <c r="M61" s="162">
        <f t="shared" si="26"/>
        <v>0</v>
      </c>
      <c r="N61" s="162">
        <f t="shared" si="26"/>
        <v>0</v>
      </c>
      <c r="O61" s="162">
        <f t="shared" si="26"/>
        <v>0</v>
      </c>
      <c r="P61" s="162">
        <f t="shared" si="26"/>
        <v>0</v>
      </c>
      <c r="Q61" s="162">
        <f t="shared" si="26"/>
        <v>0</v>
      </c>
    </row>
    <row r="62" spans="4:17">
      <c r="D62" s="168">
        <v>26</v>
      </c>
      <c r="F62" s="162">
        <v>0</v>
      </c>
      <c r="G62" s="167">
        <f t="shared" si="27"/>
        <v>35</v>
      </c>
      <c r="H62" s="259"/>
      <c r="I62" s="259"/>
      <c r="J62" s="259"/>
      <c r="K62" s="259"/>
      <c r="L62" s="259"/>
      <c r="M62" s="162">
        <f t="shared" si="26"/>
        <v>0</v>
      </c>
      <c r="N62" s="162">
        <f t="shared" si="26"/>
        <v>0</v>
      </c>
      <c r="O62" s="162">
        <f t="shared" si="26"/>
        <v>0</v>
      </c>
      <c r="P62" s="162">
        <f t="shared" si="26"/>
        <v>0</v>
      </c>
      <c r="Q62" s="162">
        <f t="shared" si="26"/>
        <v>0</v>
      </c>
    </row>
    <row r="63" spans="4:17">
      <c r="D63" s="168">
        <v>27</v>
      </c>
      <c r="F63" s="162">
        <v>0</v>
      </c>
      <c r="G63" s="167">
        <f t="shared" si="27"/>
        <v>36</v>
      </c>
      <c r="H63" s="259"/>
      <c r="I63" s="259"/>
      <c r="J63" s="259"/>
      <c r="K63" s="259"/>
      <c r="L63" s="259"/>
      <c r="M63" s="162">
        <f t="shared" si="26"/>
        <v>0</v>
      </c>
      <c r="N63" s="162">
        <f t="shared" si="26"/>
        <v>0</v>
      </c>
      <c r="O63" s="162">
        <f t="shared" si="26"/>
        <v>0</v>
      </c>
      <c r="P63" s="162">
        <f t="shared" si="26"/>
        <v>0</v>
      </c>
      <c r="Q63" s="162">
        <f t="shared" si="26"/>
        <v>0</v>
      </c>
    </row>
    <row r="64" spans="4:17">
      <c r="D64" s="168">
        <v>28</v>
      </c>
      <c r="F64" s="162">
        <v>0</v>
      </c>
      <c r="G64" s="167">
        <f t="shared" si="27"/>
        <v>37</v>
      </c>
      <c r="H64" s="259"/>
      <c r="I64" s="259"/>
      <c r="J64" s="259"/>
      <c r="K64" s="259"/>
      <c r="L64" s="259"/>
      <c r="M64" s="162">
        <f t="shared" si="26"/>
        <v>0</v>
      </c>
      <c r="N64" s="162">
        <f t="shared" si="26"/>
        <v>0</v>
      </c>
      <c r="O64" s="162">
        <f t="shared" si="26"/>
        <v>0</v>
      </c>
      <c r="P64" s="162">
        <f t="shared" si="26"/>
        <v>0</v>
      </c>
      <c r="Q64" s="162">
        <f t="shared" si="26"/>
        <v>0</v>
      </c>
    </row>
    <row r="65" spans="4:17">
      <c r="D65" s="168">
        <v>29</v>
      </c>
      <c r="F65" s="162">
        <v>0</v>
      </c>
      <c r="G65" s="167">
        <f t="shared" si="27"/>
        <v>38</v>
      </c>
      <c r="H65" s="259"/>
      <c r="I65" s="259"/>
      <c r="J65" s="259"/>
      <c r="K65" s="259"/>
      <c r="L65" s="259"/>
      <c r="M65" s="162">
        <f t="shared" si="26"/>
        <v>0</v>
      </c>
      <c r="N65" s="162">
        <f t="shared" si="26"/>
        <v>0</v>
      </c>
      <c r="O65" s="162">
        <f t="shared" si="26"/>
        <v>0</v>
      </c>
      <c r="P65" s="162">
        <f t="shared" si="26"/>
        <v>0</v>
      </c>
      <c r="Q65" s="162">
        <f t="shared" si="26"/>
        <v>0</v>
      </c>
    </row>
    <row r="66" spans="4:17">
      <c r="D66" s="335" t="s">
        <v>441</v>
      </c>
      <c r="E66" s="336"/>
      <c r="F66" s="342"/>
      <c r="G66" s="336"/>
      <c r="H66" s="339"/>
      <c r="I66" s="339"/>
      <c r="J66" s="339"/>
      <c r="K66" s="339"/>
      <c r="L66" s="339"/>
      <c r="M66" s="342">
        <f>SUM(M60:M65)</f>
        <v>-0.04</v>
      </c>
      <c r="N66" s="342">
        <f t="shared" ref="N66:Q66" si="28">SUM(N60:N65)</f>
        <v>-0.04</v>
      </c>
      <c r="O66" s="342">
        <f t="shared" si="28"/>
        <v>-0.04</v>
      </c>
      <c r="P66" s="342">
        <f t="shared" si="28"/>
        <v>-0.04</v>
      </c>
      <c r="Q66" s="342">
        <f t="shared" si="28"/>
        <v>-0.04</v>
      </c>
    </row>
    <row r="68" spans="4:17">
      <c r="D68" s="171" t="s">
        <v>428</v>
      </c>
      <c r="E68" s="172"/>
      <c r="F68" s="172"/>
      <c r="G68" s="172"/>
      <c r="H68" s="172"/>
      <c r="I68" s="172"/>
      <c r="J68" s="172"/>
      <c r="K68" s="172"/>
      <c r="L68" s="172"/>
      <c r="M68" s="172"/>
      <c r="N68" s="172"/>
      <c r="O68" s="172"/>
      <c r="P68" s="172"/>
      <c r="Q68" s="172"/>
    </row>
    <row r="70" spans="4:17">
      <c r="D70" s="69" t="s">
        <v>331</v>
      </c>
      <c r="G70" s="166">
        <f>G18</f>
        <v>3</v>
      </c>
    </row>
    <row r="72" spans="4:17">
      <c r="D72" s="169" t="s">
        <v>423</v>
      </c>
      <c r="H72" s="259"/>
      <c r="I72" s="259"/>
      <c r="J72" s="259"/>
      <c r="K72" s="259"/>
      <c r="L72" s="259"/>
      <c r="M72" s="162">
        <f>L30</f>
        <v>0.17199999999999999</v>
      </c>
      <c r="N72" s="162">
        <f t="shared" ref="N72:Q72" si="29">M30</f>
        <v>0.6522070232018562</v>
      </c>
      <c r="O72" s="162">
        <f t="shared" si="29"/>
        <v>2.7650843107983984</v>
      </c>
      <c r="P72" s="162">
        <f t="shared" si="29"/>
        <v>7.2701120122421719</v>
      </c>
      <c r="Q72" s="162">
        <f t="shared" si="29"/>
        <v>13.473602001695125</v>
      </c>
    </row>
    <row r="73" spans="4:17">
      <c r="D73" s="147" t="s">
        <v>322</v>
      </c>
      <c r="H73" s="259"/>
      <c r="I73" s="259"/>
      <c r="J73" s="259"/>
      <c r="K73" s="259"/>
      <c r="L73" s="259"/>
      <c r="M73" s="170">
        <f>M35</f>
        <v>0.48020702320185615</v>
      </c>
      <c r="N73" s="170">
        <f t="shared" ref="N73:Q73" si="30">N35</f>
        <v>2.1128772875965423</v>
      </c>
      <c r="O73" s="170">
        <f t="shared" si="30"/>
        <v>4.5050277014437734</v>
      </c>
      <c r="P73" s="170">
        <f t="shared" si="30"/>
        <v>6.2034899894529536</v>
      </c>
      <c r="Q73" s="170">
        <f t="shared" si="30"/>
        <v>6.9823129775227679</v>
      </c>
    </row>
    <row r="74" spans="4:17">
      <c r="D74" s="147" t="s">
        <v>333</v>
      </c>
      <c r="H74" s="259"/>
      <c r="I74" s="259"/>
      <c r="J74" s="259"/>
      <c r="K74" s="259"/>
      <c r="L74" s="259"/>
      <c r="M74" s="170">
        <f>M84</f>
        <v>-0.21740234106728537</v>
      </c>
      <c r="N74" s="170">
        <f t="shared" ref="N74:Q74" si="31">N84</f>
        <v>-0.92169477026613278</v>
      </c>
      <c r="O74" s="170">
        <f t="shared" si="31"/>
        <v>-2.4233706707473908</v>
      </c>
      <c r="P74" s="170">
        <f t="shared" si="31"/>
        <v>-4.2737983261644228</v>
      </c>
      <c r="Q74" s="170">
        <f t="shared" si="31"/>
        <v>-5.8969435561398313</v>
      </c>
    </row>
    <row r="75" spans="4:17">
      <c r="D75" s="335" t="s">
        <v>425</v>
      </c>
      <c r="E75" s="336"/>
      <c r="F75" s="336"/>
      <c r="G75" s="336"/>
      <c r="H75" s="336"/>
      <c r="I75" s="336"/>
      <c r="J75" s="336"/>
      <c r="K75" s="336"/>
      <c r="L75" s="336"/>
      <c r="M75" s="342">
        <f>SUM(M72:M74)</f>
        <v>0.4348046821345708</v>
      </c>
      <c r="N75" s="342">
        <f t="shared" ref="N75:Q75" si="32">SUM(N72:N74)</f>
        <v>1.8433895405322658</v>
      </c>
      <c r="O75" s="342">
        <f t="shared" si="32"/>
        <v>4.8467413414947806</v>
      </c>
      <c r="P75" s="342">
        <f t="shared" si="32"/>
        <v>9.1998036755307027</v>
      </c>
      <c r="Q75" s="342">
        <f t="shared" si="32"/>
        <v>14.558971423078063</v>
      </c>
    </row>
    <row r="77" spans="4:17">
      <c r="D77" s="161" t="s">
        <v>325</v>
      </c>
      <c r="F77" s="161" t="s">
        <v>326</v>
      </c>
      <c r="G77" s="161" t="s">
        <v>335</v>
      </c>
    </row>
    <row r="78" spans="4:17">
      <c r="D78" s="168">
        <v>25</v>
      </c>
      <c r="F78" s="162">
        <f>M72</f>
        <v>0.17199999999999999</v>
      </c>
      <c r="G78" s="167">
        <f>D78+$G$70-1</f>
        <v>27</v>
      </c>
      <c r="H78" s="259"/>
      <c r="I78" s="259"/>
      <c r="J78" s="259"/>
      <c r="K78" s="259"/>
      <c r="L78" s="259"/>
      <c r="M78" s="162">
        <f t="shared" ref="M78:Q83" si="33">IF(AND(M$6&lt;=$G78,M$6&gt;=$D78),IFERROR(-$F78/$G$70,0),0)</f>
        <v>-5.7333333333333326E-2</v>
      </c>
      <c r="N78" s="162">
        <f t="shared" si="33"/>
        <v>-5.7333333333333326E-2</v>
      </c>
      <c r="O78" s="162">
        <f t="shared" si="33"/>
        <v>-5.7333333333333326E-2</v>
      </c>
      <c r="P78" s="162">
        <f t="shared" si="33"/>
        <v>0</v>
      </c>
      <c r="Q78" s="162">
        <f t="shared" si="33"/>
        <v>0</v>
      </c>
    </row>
    <row r="79" spans="4:17">
      <c r="D79" s="168">
        <v>25</v>
      </c>
      <c r="F79" s="162" cm="1">
        <f t="array" ref="F79:F83">TRANSPOSE(M73:Q73)</f>
        <v>0.48020702320185615</v>
      </c>
      <c r="G79" s="167">
        <f t="shared" ref="G79:G83" si="34">D79+$G$70-1</f>
        <v>27</v>
      </c>
      <c r="H79" s="259"/>
      <c r="I79" s="259"/>
      <c r="J79" s="259"/>
      <c r="K79" s="259"/>
      <c r="L79" s="259"/>
      <c r="M79" s="162">
        <f t="shared" si="33"/>
        <v>-0.16006900773395205</v>
      </c>
      <c r="N79" s="162">
        <f t="shared" si="33"/>
        <v>-0.16006900773395205</v>
      </c>
      <c r="O79" s="162">
        <f t="shared" si="33"/>
        <v>-0.16006900773395205</v>
      </c>
      <c r="P79" s="162">
        <f t="shared" si="33"/>
        <v>0</v>
      </c>
      <c r="Q79" s="162">
        <f t="shared" si="33"/>
        <v>0</v>
      </c>
    </row>
    <row r="80" spans="4:17">
      <c r="D80" s="168">
        <v>26</v>
      </c>
      <c r="F80" s="162">
        <v>2.1128772875965423</v>
      </c>
      <c r="G80" s="167">
        <f t="shared" si="34"/>
        <v>28</v>
      </c>
      <c r="H80" s="259"/>
      <c r="I80" s="259"/>
      <c r="J80" s="259"/>
      <c r="K80" s="259"/>
      <c r="L80" s="259"/>
      <c r="M80" s="162">
        <f t="shared" si="33"/>
        <v>0</v>
      </c>
      <c r="N80" s="162">
        <f t="shared" si="33"/>
        <v>-0.70429242919884738</v>
      </c>
      <c r="O80" s="162">
        <f t="shared" si="33"/>
        <v>-0.70429242919884738</v>
      </c>
      <c r="P80" s="162">
        <f t="shared" si="33"/>
        <v>-0.70429242919884738</v>
      </c>
      <c r="Q80" s="162">
        <f t="shared" si="33"/>
        <v>0</v>
      </c>
    </row>
    <row r="81" spans="4:17">
      <c r="D81" s="168">
        <v>27</v>
      </c>
      <c r="F81" s="162">
        <v>4.5050277014437734</v>
      </c>
      <c r="G81" s="167">
        <f t="shared" si="34"/>
        <v>29</v>
      </c>
      <c r="H81" s="259"/>
      <c r="I81" s="259"/>
      <c r="J81" s="259"/>
      <c r="K81" s="259"/>
      <c r="L81" s="259"/>
      <c r="M81" s="162">
        <f t="shared" si="33"/>
        <v>0</v>
      </c>
      <c r="N81" s="162">
        <f t="shared" si="33"/>
        <v>0</v>
      </c>
      <c r="O81" s="162">
        <f t="shared" si="33"/>
        <v>-1.5016759004812579</v>
      </c>
      <c r="P81" s="162">
        <f t="shared" si="33"/>
        <v>-1.5016759004812579</v>
      </c>
      <c r="Q81" s="162">
        <f t="shared" si="33"/>
        <v>-1.5016759004812579</v>
      </c>
    </row>
    <row r="82" spans="4:17">
      <c r="D82" s="168">
        <v>28</v>
      </c>
      <c r="F82" s="162">
        <v>6.2034899894529536</v>
      </c>
      <c r="G82" s="167">
        <f t="shared" si="34"/>
        <v>30</v>
      </c>
      <c r="H82" s="259"/>
      <c r="I82" s="259"/>
      <c r="J82" s="259"/>
      <c r="K82" s="259"/>
      <c r="L82" s="259"/>
      <c r="M82" s="162">
        <f t="shared" si="33"/>
        <v>0</v>
      </c>
      <c r="N82" s="162">
        <f t="shared" si="33"/>
        <v>0</v>
      </c>
      <c r="O82" s="162">
        <f t="shared" si="33"/>
        <v>0</v>
      </c>
      <c r="P82" s="162">
        <f t="shared" si="33"/>
        <v>-2.0678299964843179</v>
      </c>
      <c r="Q82" s="162">
        <f t="shared" si="33"/>
        <v>-2.0678299964843179</v>
      </c>
    </row>
    <row r="83" spans="4:17">
      <c r="D83" s="168">
        <v>29</v>
      </c>
      <c r="F83" s="162">
        <v>6.9823129775227679</v>
      </c>
      <c r="G83" s="167">
        <f t="shared" si="34"/>
        <v>31</v>
      </c>
      <c r="H83" s="259"/>
      <c r="I83" s="259"/>
      <c r="J83" s="259"/>
      <c r="K83" s="259"/>
      <c r="L83" s="259"/>
      <c r="M83" s="162">
        <f t="shared" si="33"/>
        <v>0</v>
      </c>
      <c r="N83" s="162">
        <f t="shared" si="33"/>
        <v>0</v>
      </c>
      <c r="O83" s="162">
        <f t="shared" si="33"/>
        <v>0</v>
      </c>
      <c r="P83" s="162">
        <f t="shared" si="33"/>
        <v>0</v>
      </c>
      <c r="Q83" s="162">
        <f t="shared" si="33"/>
        <v>-2.3274376591742558</v>
      </c>
    </row>
    <row r="84" spans="4:17">
      <c r="D84" s="335" t="s">
        <v>441</v>
      </c>
      <c r="E84" s="336"/>
      <c r="F84" s="336"/>
      <c r="G84" s="336"/>
      <c r="H84" s="339"/>
      <c r="I84" s="339"/>
      <c r="J84" s="339"/>
      <c r="K84" s="339"/>
      <c r="L84" s="339"/>
      <c r="M84" s="342">
        <f>SUM(M78:M83)</f>
        <v>-0.21740234106728537</v>
      </c>
      <c r="N84" s="342">
        <f t="shared" ref="N84:Q84" si="35">SUM(N78:N83)</f>
        <v>-0.92169477026613278</v>
      </c>
      <c r="O84" s="342">
        <f t="shared" si="35"/>
        <v>-2.4233706707473908</v>
      </c>
      <c r="P84" s="342">
        <f t="shared" si="35"/>
        <v>-4.2737983261644228</v>
      </c>
      <c r="Q84" s="342">
        <f t="shared" si="35"/>
        <v>-5.8969435561398313</v>
      </c>
    </row>
  </sheetData>
  <mergeCells count="2">
    <mergeCell ref="H5:L5"/>
    <mergeCell ref="M5:Q5"/>
  </mergeCells>
  <pageMargins left="0.7" right="0.7" top="0.75" bottom="0.75" header="0.3" footer="0.3"/>
  <ignoredErrors>
    <ignoredError sqref="I34" evalError="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3B529-768D-4F15-AA7F-CF49CA10E268}">
  <dimension ref="B2:U130"/>
  <sheetViews>
    <sheetView tabSelected="1" topLeftCell="A4" zoomScale="110" workbookViewId="0">
      <selection activeCell="I26" sqref="I26"/>
    </sheetView>
  </sheetViews>
  <sheetFormatPr baseColWidth="10" defaultColWidth="8.5" defaultRowHeight="16"/>
  <cols>
    <col min="1" max="3" width="2.5" style="57" customWidth="1"/>
    <col min="4" max="4" width="54.5" style="57" customWidth="1"/>
    <col min="5" max="5" width="11.1640625" style="57" customWidth="1"/>
    <col min="6" max="7" width="9.5" style="57" bestFit="1" customWidth="1"/>
    <col min="8" max="8" width="12" style="57" customWidth="1"/>
    <col min="9" max="9" width="11.1640625" style="57" customWidth="1"/>
    <col min="10" max="10" width="13" style="57" customWidth="1"/>
    <col min="11" max="13" width="10.5" style="57" bestFit="1" customWidth="1"/>
    <col min="14" max="14" width="10.5" style="57" customWidth="1"/>
    <col min="15" max="15" width="10.5" style="57" bestFit="1" customWidth="1"/>
    <col min="16" max="16" width="12" style="57" bestFit="1" customWidth="1"/>
    <col min="17" max="16384" width="8.5" style="57"/>
  </cols>
  <sheetData>
    <row r="2" spans="2:21" ht="24">
      <c r="B2" s="374"/>
      <c r="C2" s="369"/>
      <c r="D2" s="370" t="s">
        <v>32</v>
      </c>
      <c r="E2" s="375"/>
      <c r="F2" s="375"/>
      <c r="G2" s="375"/>
      <c r="H2" s="375"/>
      <c r="I2" s="375"/>
      <c r="J2" s="375"/>
      <c r="K2" s="375"/>
      <c r="L2" s="375"/>
      <c r="M2" s="375"/>
      <c r="N2" s="375"/>
      <c r="O2" s="375"/>
      <c r="P2" s="375"/>
    </row>
    <row r="3" spans="2:21">
      <c r="B3" s="374"/>
      <c r="C3" s="369"/>
      <c r="D3" s="369"/>
      <c r="E3" s="375"/>
      <c r="F3" s="375"/>
      <c r="G3" s="375"/>
      <c r="H3" s="375"/>
      <c r="I3" s="375"/>
      <c r="J3" s="375"/>
      <c r="K3" s="375"/>
      <c r="L3" s="375"/>
      <c r="M3" s="375"/>
      <c r="N3" s="375"/>
      <c r="O3" s="375"/>
      <c r="P3" s="375"/>
    </row>
    <row r="4" spans="2:21">
      <c r="B4" s="374"/>
      <c r="C4" s="369"/>
      <c r="D4" s="369" t="s">
        <v>33</v>
      </c>
      <c r="E4" s="375"/>
      <c r="F4" s="375"/>
      <c r="G4" s="375"/>
      <c r="H4" s="375"/>
      <c r="I4" s="375"/>
      <c r="J4" s="375"/>
      <c r="K4" s="375"/>
      <c r="L4" s="375"/>
      <c r="M4" s="375"/>
      <c r="N4" s="375"/>
      <c r="O4" s="375"/>
      <c r="P4" s="375"/>
    </row>
    <row r="5" spans="2:21">
      <c r="B5" s="374"/>
      <c r="C5" s="369"/>
      <c r="D5" s="369" t="s">
        <v>34</v>
      </c>
      <c r="E5" s="375"/>
      <c r="F5" s="383" t="str">
        <f>Cover!C11</f>
        <v>Base Case</v>
      </c>
      <c r="G5" s="375"/>
      <c r="H5" s="375"/>
      <c r="I5" s="375"/>
      <c r="J5" s="375"/>
      <c r="K5" s="375"/>
      <c r="L5" s="375"/>
      <c r="M5" s="375"/>
      <c r="N5" s="375"/>
      <c r="O5" s="375"/>
      <c r="P5" s="375"/>
    </row>
    <row r="6" spans="2:21">
      <c r="B6" s="374"/>
      <c r="C6" s="369"/>
      <c r="D6" s="369"/>
      <c r="E6" s="375"/>
      <c r="F6" s="375"/>
      <c r="G6" s="781" t="s">
        <v>35</v>
      </c>
      <c r="H6" s="780"/>
      <c r="I6" s="780"/>
      <c r="J6" s="780"/>
      <c r="K6" s="780"/>
      <c r="L6" s="782" t="s">
        <v>36</v>
      </c>
      <c r="M6" s="782"/>
      <c r="N6" s="782"/>
      <c r="O6" s="782"/>
      <c r="P6" s="782"/>
    </row>
    <row r="7" spans="2:21">
      <c r="B7" s="374"/>
      <c r="C7" s="369"/>
      <c r="D7" s="369" t="s">
        <v>37</v>
      </c>
      <c r="E7" s="375"/>
      <c r="F7" s="383" t="s">
        <v>58</v>
      </c>
      <c r="G7" s="385">
        <v>20</v>
      </c>
      <c r="H7" s="385">
        <f>G7+1</f>
        <v>21</v>
      </c>
      <c r="I7" s="385">
        <f t="shared" ref="I7:J7" si="0">H7+1</f>
        <v>22</v>
      </c>
      <c r="J7" s="385">
        <f t="shared" si="0"/>
        <v>23</v>
      </c>
      <c r="K7" s="385">
        <f>J7+1</f>
        <v>24</v>
      </c>
      <c r="L7" s="377">
        <f t="shared" ref="L7:P7" si="1">K7+1</f>
        <v>25</v>
      </c>
      <c r="M7" s="377">
        <f t="shared" si="1"/>
        <v>26</v>
      </c>
      <c r="N7" s="377">
        <f t="shared" si="1"/>
        <v>27</v>
      </c>
      <c r="O7" s="377">
        <f t="shared" si="1"/>
        <v>28</v>
      </c>
      <c r="P7" s="377">
        <f t="shared" si="1"/>
        <v>29</v>
      </c>
    </row>
    <row r="9" spans="2:21">
      <c r="B9" s="386">
        <v>1</v>
      </c>
      <c r="C9" s="59"/>
      <c r="D9" s="375" t="s">
        <v>445</v>
      </c>
      <c r="E9" s="374"/>
      <c r="F9" s="374"/>
      <c r="G9" s="374"/>
      <c r="H9" s="374"/>
      <c r="I9" s="374"/>
      <c r="J9" s="374"/>
      <c r="K9" s="374"/>
      <c r="L9" s="374"/>
      <c r="M9" s="374"/>
      <c r="N9" s="374"/>
      <c r="O9" s="374"/>
      <c r="P9" s="374"/>
    </row>
    <row r="11" spans="2:21">
      <c r="D11" s="140" t="s">
        <v>446</v>
      </c>
      <c r="E11" s="140"/>
      <c r="F11" s="140"/>
      <c r="G11" s="140"/>
      <c r="H11" s="140"/>
      <c r="I11" s="140"/>
      <c r="J11" s="140"/>
      <c r="K11" s="140"/>
      <c r="L11" s="140"/>
      <c r="M11" s="140"/>
      <c r="N11" s="140"/>
      <c r="O11" s="140"/>
      <c r="P11" s="140"/>
      <c r="U11" s="4"/>
    </row>
    <row r="12" spans="2:21">
      <c r="D12" s="57" t="s">
        <v>447</v>
      </c>
      <c r="F12" s="63" t="s">
        <v>398</v>
      </c>
      <c r="G12" s="361">
        <v>0.184</v>
      </c>
      <c r="H12" s="361">
        <v>4.5620000000000003</v>
      </c>
      <c r="I12" s="361">
        <v>17.428999999999998</v>
      </c>
      <c r="J12" s="361">
        <v>16.151</v>
      </c>
      <c r="K12" s="361">
        <v>14.503</v>
      </c>
      <c r="L12" s="268">
        <f>L24</f>
        <v>162.57863</v>
      </c>
      <c r="M12" s="268">
        <f>M24</f>
        <v>715.33459149589987</v>
      </c>
      <c r="N12" s="268">
        <f>N24</f>
        <v>1525.2197415382298</v>
      </c>
      <c r="O12" s="268">
        <f>O24</f>
        <v>2100.2502149578668</v>
      </c>
      <c r="P12" s="268">
        <f>P24</f>
        <v>2363.9281044827599</v>
      </c>
    </row>
    <row r="13" spans="2:21">
      <c r="D13" s="57" t="s">
        <v>448</v>
      </c>
      <c r="F13" s="63" t="s">
        <v>398</v>
      </c>
      <c r="G13" s="361">
        <v>3.5000000000000003E-2</v>
      </c>
      <c r="H13" s="361">
        <v>3.5999999999999997E-2</v>
      </c>
      <c r="I13" s="361">
        <v>0.495</v>
      </c>
      <c r="J13" s="361">
        <v>0.22700000000000001</v>
      </c>
      <c r="K13" s="361">
        <v>1.103</v>
      </c>
      <c r="L13" s="268">
        <f>L31</f>
        <v>12.36463</v>
      </c>
      <c r="M13" s="268">
        <f t="shared" ref="M13:P13" si="2">M31</f>
        <v>54.403506475899995</v>
      </c>
      <c r="N13" s="268">
        <f t="shared" si="2"/>
        <v>115.997888362178</v>
      </c>
      <c r="O13" s="268">
        <f t="shared" si="2"/>
        <v>159.73081342470712</v>
      </c>
      <c r="P13" s="268">
        <f t="shared" si="2"/>
        <v>179.78436869919909</v>
      </c>
      <c r="U13" s="4"/>
    </row>
    <row r="14" spans="2:21">
      <c r="D14" s="141" t="s">
        <v>40</v>
      </c>
      <c r="E14" s="60"/>
      <c r="F14" s="126" t="s">
        <v>398</v>
      </c>
      <c r="G14" s="269">
        <f t="shared" ref="G14:P14" si="3">SUM(G12:G13)</f>
        <v>0.219</v>
      </c>
      <c r="H14" s="269">
        <f t="shared" si="3"/>
        <v>4.5979999999999999</v>
      </c>
      <c r="I14" s="269">
        <f t="shared" si="3"/>
        <v>17.923999999999999</v>
      </c>
      <c r="J14" s="269">
        <f t="shared" si="3"/>
        <v>16.378</v>
      </c>
      <c r="K14" s="269">
        <f t="shared" si="3"/>
        <v>15.606</v>
      </c>
      <c r="L14" s="269">
        <f t="shared" si="3"/>
        <v>174.94326000000001</v>
      </c>
      <c r="M14" s="269">
        <f t="shared" si="3"/>
        <v>769.7380979717999</v>
      </c>
      <c r="N14" s="269">
        <f t="shared" si="3"/>
        <v>1641.2176299004077</v>
      </c>
      <c r="O14" s="269">
        <f t="shared" si="3"/>
        <v>2259.9810283825741</v>
      </c>
      <c r="P14" s="269">
        <f t="shared" si="3"/>
        <v>2543.712473181959</v>
      </c>
    </row>
    <row r="15" spans="2:21">
      <c r="D15" s="57" t="s">
        <v>161</v>
      </c>
      <c r="F15" s="63" t="s">
        <v>60</v>
      </c>
      <c r="H15" s="65">
        <f t="shared" ref="H15:P15" si="4">H14/G14-1</f>
        <v>19.995433789954337</v>
      </c>
      <c r="I15" s="65">
        <f t="shared" si="4"/>
        <v>2.8982166159199654</v>
      </c>
      <c r="J15" s="65">
        <f t="shared" si="4"/>
        <v>-8.6253068511492947E-2</v>
      </c>
      <c r="K15" s="65">
        <f t="shared" si="4"/>
        <v>-4.7136402491146701E-2</v>
      </c>
      <c r="L15" s="65">
        <f t="shared" si="4"/>
        <v>10.210000000000001</v>
      </c>
      <c r="M15" s="65">
        <f t="shared" si="4"/>
        <v>3.3999299999999995</v>
      </c>
      <c r="N15" s="65">
        <f t="shared" si="4"/>
        <v>1.1321766899999997</v>
      </c>
      <c r="O15" s="65">
        <f t="shared" si="4"/>
        <v>0.37701483777000022</v>
      </c>
      <c r="P15" s="65">
        <f t="shared" si="4"/>
        <v>0.12554594097741001</v>
      </c>
    </row>
    <row r="17" spans="2:16">
      <c r="B17" s="386">
        <v>2</v>
      </c>
      <c r="D17" s="375" t="s">
        <v>23</v>
      </c>
      <c r="E17" s="374"/>
      <c r="F17" s="374"/>
      <c r="G17" s="374"/>
      <c r="H17" s="374"/>
      <c r="I17" s="374"/>
      <c r="J17" s="374"/>
      <c r="K17" s="374"/>
      <c r="L17" s="374"/>
      <c r="M17" s="374"/>
      <c r="N17" s="374"/>
      <c r="O17" s="374"/>
      <c r="P17" s="374"/>
    </row>
    <row r="19" spans="2:16">
      <c r="D19" s="142" t="s">
        <v>449</v>
      </c>
      <c r="E19" s="142"/>
      <c r="F19" s="142"/>
      <c r="G19" s="142"/>
      <c r="H19" s="142"/>
      <c r="I19" s="142"/>
      <c r="J19" s="142"/>
      <c r="K19" s="142"/>
      <c r="L19" s="142"/>
      <c r="M19" s="142"/>
      <c r="N19" s="142"/>
      <c r="O19" s="142"/>
      <c r="P19" s="142"/>
    </row>
    <row r="20" spans="2:16">
      <c r="D20" s="57" t="s">
        <v>447</v>
      </c>
      <c r="F20" s="63" t="s">
        <v>60</v>
      </c>
      <c r="H20" s="65">
        <f t="shared" ref="H20:P20" si="5">(H12-G12)/G12</f>
        <v>23.793478260869566</v>
      </c>
      <c r="I20" s="65">
        <f t="shared" si="5"/>
        <v>2.8204734765453741</v>
      </c>
      <c r="J20" s="65">
        <f t="shared" si="5"/>
        <v>-7.3326065752481434E-2</v>
      </c>
      <c r="K20" s="65">
        <f t="shared" si="5"/>
        <v>-0.10203702557117204</v>
      </c>
      <c r="L20" s="65">
        <f>(L12-K12)/K12</f>
        <v>10.209999999999999</v>
      </c>
      <c r="M20" s="65">
        <f t="shared" si="5"/>
        <v>3.3999299999999995</v>
      </c>
      <c r="N20" s="65">
        <f t="shared" si="5"/>
        <v>1.1321766899999997</v>
      </c>
      <c r="O20" s="65">
        <f>(O12-N12)/N12</f>
        <v>0.37701483777</v>
      </c>
      <c r="P20" s="65">
        <f t="shared" si="5"/>
        <v>0.12554594097741004</v>
      </c>
    </row>
    <row r="21" spans="2:16">
      <c r="D21" s="57" t="s">
        <v>448</v>
      </c>
      <c r="F21" s="63" t="s">
        <v>60</v>
      </c>
      <c r="H21" s="65">
        <f t="shared" ref="H21:P21" si="6">(H13-G13)/G13</f>
        <v>2.8571428571428397E-2</v>
      </c>
      <c r="I21" s="65">
        <f t="shared" si="6"/>
        <v>12.750000000000002</v>
      </c>
      <c r="J21" s="65">
        <f t="shared" si="6"/>
        <v>-0.54141414141414146</v>
      </c>
      <c r="K21" s="65">
        <f t="shared" si="6"/>
        <v>3.8590308370044051</v>
      </c>
      <c r="L21" s="65">
        <f t="shared" si="6"/>
        <v>10.210000000000001</v>
      </c>
      <c r="M21" s="65">
        <f t="shared" si="6"/>
        <v>3.3999299999999999</v>
      </c>
      <c r="N21" s="65">
        <f t="shared" si="6"/>
        <v>1.1321766899999997</v>
      </c>
      <c r="O21" s="65">
        <f t="shared" si="6"/>
        <v>0.37701483777000006</v>
      </c>
      <c r="P21" s="65">
        <f t="shared" si="6"/>
        <v>0.12554594097741001</v>
      </c>
    </row>
    <row r="23" spans="2:16">
      <c r="B23" s="386">
        <v>3</v>
      </c>
      <c r="C23" s="8"/>
      <c r="D23" s="375" t="s">
        <v>450</v>
      </c>
      <c r="E23" s="374"/>
      <c r="F23" s="374"/>
      <c r="G23" s="374"/>
      <c r="H23" s="374"/>
      <c r="I23" s="374"/>
      <c r="J23" s="374"/>
      <c r="K23" s="374"/>
      <c r="L23" s="374"/>
      <c r="M23" s="374"/>
      <c r="N23" s="374"/>
      <c r="O23" s="374"/>
      <c r="P23" s="374"/>
    </row>
    <row r="24" spans="2:16">
      <c r="B24" s="8"/>
      <c r="C24" s="8"/>
      <c r="D24" s="57" t="s">
        <v>356</v>
      </c>
      <c r="E24" s="8"/>
      <c r="F24" s="63" t="s">
        <v>398</v>
      </c>
      <c r="G24" s="162">
        <f>G12</f>
        <v>0.184</v>
      </c>
      <c r="H24" s="162">
        <f>H12</f>
        <v>4.5620000000000003</v>
      </c>
      <c r="I24" s="162">
        <f>I12</f>
        <v>17.428999999999998</v>
      </c>
      <c r="J24" s="162">
        <f>J12</f>
        <v>16.151</v>
      </c>
      <c r="K24" s="162">
        <f>K12</f>
        <v>14.503</v>
      </c>
      <c r="L24" s="162">
        <f>(1+L25)*K24</f>
        <v>162.57863</v>
      </c>
      <c r="M24" s="162">
        <f>(1+M25)*L24</f>
        <v>715.33459149589987</v>
      </c>
      <c r="N24" s="162">
        <f>(1+N25)*M24</f>
        <v>1525.2197415382298</v>
      </c>
      <c r="O24" s="162">
        <f>(1+O25)*N24</f>
        <v>2100.2502149578668</v>
      </c>
      <c r="P24" s="162">
        <f t="shared" ref="P24" si="7">(1+P25)*O24</f>
        <v>2363.9281044827599</v>
      </c>
    </row>
    <row r="25" spans="2:16">
      <c r="B25" s="8"/>
      <c r="C25" s="8"/>
      <c r="D25" s="57" t="s">
        <v>161</v>
      </c>
      <c r="E25" s="8"/>
      <c r="F25" s="63" t="s">
        <v>60</v>
      </c>
      <c r="H25" s="65">
        <f>(H24-G24)/G24</f>
        <v>23.793478260869566</v>
      </c>
      <c r="I25" s="65">
        <f>(I24-H24)/H24</f>
        <v>2.8204734765453741</v>
      </c>
      <c r="J25" s="65">
        <f>(J24-I24)/I24</f>
        <v>-7.3326065752481434E-2</v>
      </c>
      <c r="K25" s="65">
        <f>(K24-J24)/J24</f>
        <v>-0.10203702557117204</v>
      </c>
      <c r="L25" s="65">
        <f>_xlfn.XLOOKUP($F$5, $D26:$D28, L26:L28)</f>
        <v>10.210000000000001</v>
      </c>
      <c r="M25" s="65">
        <f t="shared" ref="M25:P25" si="8">_xlfn.XLOOKUP($F$5, $D26:$D28, M26:M28)</f>
        <v>3.3999299999999999</v>
      </c>
      <c r="N25" s="65">
        <f t="shared" si="8"/>
        <v>1.1321766899999999</v>
      </c>
      <c r="O25" s="65">
        <f t="shared" si="8"/>
        <v>0.37701483776999989</v>
      </c>
      <c r="P25" s="65">
        <f t="shared" si="8"/>
        <v>0.12554594097740995</v>
      </c>
    </row>
    <row r="26" spans="2:16">
      <c r="B26" s="8"/>
      <c r="C26" s="8"/>
      <c r="D26" s="57" t="s">
        <v>112</v>
      </c>
      <c r="E26" s="9">
        <v>0.14299999999999999</v>
      </c>
      <c r="L26" s="709">
        <f>L27+$E$26</f>
        <v>10.353000000000002</v>
      </c>
      <c r="M26" s="709">
        <f>M27+$E$26</f>
        <v>3.5429299999999997</v>
      </c>
      <c r="N26" s="709">
        <f>N27+$E$26</f>
        <v>1.2751766899999999</v>
      </c>
      <c r="O26" s="709">
        <f>O27+$E$26</f>
        <v>0.5200148377699999</v>
      </c>
      <c r="P26" s="709">
        <f>P27+$E$26</f>
        <v>0.26854594097740991</v>
      </c>
    </row>
    <row r="27" spans="2:16">
      <c r="B27" s="8"/>
      <c r="C27" s="8"/>
      <c r="D27" s="57" t="s">
        <v>12</v>
      </c>
      <c r="E27" s="143">
        <v>0.66700000000000004</v>
      </c>
      <c r="L27" s="144">
        <v>10.210000000000001</v>
      </c>
      <c r="M27" s="144">
        <f>L27*(1-$E$27)</f>
        <v>3.3999299999999999</v>
      </c>
      <c r="N27" s="144">
        <f t="shared" ref="N27:P27" si="9">M27*(1-$E$27)</f>
        <v>1.1321766899999999</v>
      </c>
      <c r="O27" s="144">
        <f t="shared" si="9"/>
        <v>0.37701483776999989</v>
      </c>
      <c r="P27" s="144">
        <f t="shared" si="9"/>
        <v>0.12554594097740995</v>
      </c>
    </row>
    <row r="28" spans="2:16">
      <c r="B28" s="8"/>
      <c r="C28" s="8"/>
      <c r="D28" s="57" t="s">
        <v>113</v>
      </c>
      <c r="E28" s="9">
        <v>-0.14299999999999999</v>
      </c>
      <c r="L28" s="709">
        <f>L27+$E$28</f>
        <v>10.067</v>
      </c>
      <c r="M28" s="709">
        <f>M27+$E$28</f>
        <v>3.2569300000000001</v>
      </c>
      <c r="N28" s="709">
        <f>N27+$E$28</f>
        <v>0.98917668999999986</v>
      </c>
      <c r="O28" s="709">
        <f>O27+$E$28</f>
        <v>0.2340148377699999</v>
      </c>
      <c r="P28" s="709">
        <f>P27+$E$28</f>
        <v>-1.7454059022590035E-2</v>
      </c>
    </row>
    <row r="30" spans="2:16">
      <c r="B30" s="384">
        <v>4</v>
      </c>
      <c r="C30" s="8"/>
      <c r="D30" s="375" t="s">
        <v>451</v>
      </c>
      <c r="E30" s="374"/>
      <c r="F30" s="374"/>
      <c r="G30" s="374"/>
      <c r="H30" s="374"/>
      <c r="I30" s="374"/>
      <c r="J30" s="374"/>
      <c r="K30" s="374"/>
      <c r="L30" s="374"/>
      <c r="M30" s="374"/>
      <c r="N30" s="374"/>
      <c r="O30" s="374"/>
      <c r="P30" s="374"/>
    </row>
    <row r="31" spans="2:16">
      <c r="B31" s="8"/>
      <c r="C31" s="8"/>
      <c r="D31" s="57" t="s">
        <v>356</v>
      </c>
      <c r="E31" s="8"/>
      <c r="F31" s="63" t="s">
        <v>398</v>
      </c>
      <c r="G31" s="162">
        <f>G13</f>
        <v>3.5000000000000003E-2</v>
      </c>
      <c r="H31" s="162">
        <f>H13</f>
        <v>3.5999999999999997E-2</v>
      </c>
      <c r="I31" s="162">
        <f>I13</f>
        <v>0.495</v>
      </c>
      <c r="J31" s="162">
        <f>J13</f>
        <v>0.22700000000000001</v>
      </c>
      <c r="K31" s="162">
        <f>K13</f>
        <v>1.103</v>
      </c>
      <c r="L31" s="162">
        <f>(1+L32)*K31</f>
        <v>12.36463</v>
      </c>
      <c r="M31" s="162">
        <f t="shared" ref="M31:P31" si="10">(1+M32)*L31</f>
        <v>54.403506475899995</v>
      </c>
      <c r="N31" s="162">
        <f t="shared" si="10"/>
        <v>115.997888362178</v>
      </c>
      <c r="O31" s="162">
        <f t="shared" si="10"/>
        <v>159.73081342470712</v>
      </c>
      <c r="P31" s="162">
        <f t="shared" si="10"/>
        <v>179.78436869919909</v>
      </c>
    </row>
    <row r="32" spans="2:16">
      <c r="B32" s="8"/>
      <c r="C32" s="8"/>
      <c r="D32" s="57" t="s">
        <v>161</v>
      </c>
      <c r="E32" s="8"/>
      <c r="F32" s="63" t="s">
        <v>60</v>
      </c>
      <c r="H32" s="65">
        <f>(H31-G31)/G31</f>
        <v>2.8571428571428397E-2</v>
      </c>
      <c r="I32" s="65">
        <f>(I31-H31)/H31</f>
        <v>12.750000000000002</v>
      </c>
      <c r="J32" s="65">
        <f>(J31-I31)/I31</f>
        <v>-0.54141414141414146</v>
      </c>
      <c r="K32" s="65">
        <f>(K31-J31)/J31</f>
        <v>3.8590308370044051</v>
      </c>
      <c r="L32" s="65">
        <f>_xlfn.XLOOKUP($F$5, $D33:$D35, L33:L35)</f>
        <v>10.210000000000001</v>
      </c>
      <c r="M32" s="65">
        <f t="shared" ref="M32:P32" si="11">_xlfn.XLOOKUP($F$5, $D33:$D35, M33:M35)</f>
        <v>3.3999299999999999</v>
      </c>
      <c r="N32" s="65">
        <f t="shared" si="11"/>
        <v>1.1321766899999999</v>
      </c>
      <c r="O32" s="65">
        <f t="shared" si="11"/>
        <v>0.37701483776999989</v>
      </c>
      <c r="P32" s="65">
        <f t="shared" si="11"/>
        <v>0.12554594097740995</v>
      </c>
    </row>
    <row r="33" spans="2:16">
      <c r="B33" s="8"/>
      <c r="C33" s="8"/>
      <c r="D33" s="57" t="s">
        <v>112</v>
      </c>
      <c r="E33" s="9">
        <v>0.14299999999999999</v>
      </c>
      <c r="L33" s="709">
        <f>L34+$E$33</f>
        <v>10.353000000000002</v>
      </c>
      <c r="M33" s="709">
        <f>M34+$E$26</f>
        <v>3.5429299999999997</v>
      </c>
      <c r="N33" s="709">
        <f>N34+$E$26</f>
        <v>1.2751766899999999</v>
      </c>
      <c r="O33" s="709">
        <f>O34+$E$26</f>
        <v>0.5200148377699999</v>
      </c>
      <c r="P33" s="709">
        <f>P34+$E$26</f>
        <v>0.26854594097740991</v>
      </c>
    </row>
    <row r="34" spans="2:16">
      <c r="B34" s="8"/>
      <c r="C34" s="8"/>
      <c r="D34" s="57" t="s">
        <v>12</v>
      </c>
      <c r="E34" s="143">
        <v>0.66700000000000004</v>
      </c>
      <c r="L34" s="144">
        <v>10.210000000000001</v>
      </c>
      <c r="M34" s="144">
        <f>L34*(1-$E$34)</f>
        <v>3.3999299999999999</v>
      </c>
      <c r="N34" s="144">
        <f t="shared" ref="N34:P34" si="12">M34*(1-$E$34)</f>
        <v>1.1321766899999999</v>
      </c>
      <c r="O34" s="144">
        <f t="shared" si="12"/>
        <v>0.37701483776999989</v>
      </c>
      <c r="P34" s="144">
        <f t="shared" si="12"/>
        <v>0.12554594097740995</v>
      </c>
    </row>
    <row r="35" spans="2:16">
      <c r="B35" s="8"/>
      <c r="C35" s="8"/>
      <c r="D35" s="57" t="s">
        <v>113</v>
      </c>
      <c r="E35" s="9">
        <v>-0.14299999999999999</v>
      </c>
      <c r="L35" s="709">
        <f>L34+$E$35</f>
        <v>10.067</v>
      </c>
      <c r="M35" s="709">
        <f t="shared" ref="M35:P35" si="13">M34+$E$35</f>
        <v>3.2569300000000001</v>
      </c>
      <c r="N35" s="709">
        <f t="shared" si="13"/>
        <v>0.98917668999999986</v>
      </c>
      <c r="O35" s="709">
        <f t="shared" si="13"/>
        <v>0.2340148377699999</v>
      </c>
      <c r="P35" s="709">
        <f t="shared" si="13"/>
        <v>-1.7454059022590035E-2</v>
      </c>
    </row>
    <row r="98" spans="3:3">
      <c r="C98" s="147"/>
    </row>
    <row r="99" spans="3:3">
      <c r="C99" s="57" t="s">
        <v>31</v>
      </c>
    </row>
    <row r="100" spans="3:3">
      <c r="C100" s="147"/>
    </row>
    <row r="101" spans="3:3">
      <c r="C101" s="147"/>
    </row>
    <row r="102" spans="3:3">
      <c r="C102" s="147"/>
    </row>
    <row r="103" spans="3:3">
      <c r="C103" s="147"/>
    </row>
    <row r="104" spans="3:3">
      <c r="C104" s="147"/>
    </row>
    <row r="105" spans="3:3">
      <c r="C105" s="147"/>
    </row>
    <row r="106" spans="3:3">
      <c r="C106" s="147"/>
    </row>
    <row r="107" spans="3:3">
      <c r="C107" s="147"/>
    </row>
    <row r="108" spans="3:3">
      <c r="C108" s="147"/>
    </row>
    <row r="109" spans="3:3">
      <c r="C109" s="147"/>
    </row>
    <row r="110" spans="3:3">
      <c r="C110" s="147"/>
    </row>
    <row r="112" spans="3:3">
      <c r="C112" s="147"/>
    </row>
    <row r="113" spans="3:3">
      <c r="C113" s="147"/>
    </row>
    <row r="114" spans="3:3">
      <c r="C114" s="147"/>
    </row>
    <row r="115" spans="3:3">
      <c r="C115" s="147"/>
    </row>
    <row r="116" spans="3:3">
      <c r="C116" s="147"/>
    </row>
    <row r="117" spans="3:3">
      <c r="C117" s="147"/>
    </row>
    <row r="118" spans="3:3">
      <c r="C118" s="147"/>
    </row>
    <row r="119" spans="3:3">
      <c r="C119" s="147"/>
    </row>
    <row r="123" spans="3:3">
      <c r="C123" s="147"/>
    </row>
    <row r="124" spans="3:3">
      <c r="C124" s="147"/>
    </row>
    <row r="125" spans="3:3">
      <c r="C125" s="147"/>
    </row>
    <row r="126" spans="3:3">
      <c r="C126" s="147"/>
    </row>
    <row r="127" spans="3:3">
      <c r="C127" s="147"/>
    </row>
    <row r="128" spans="3:3">
      <c r="C128" s="147"/>
    </row>
    <row r="129" spans="3:3">
      <c r="C129" s="147"/>
    </row>
    <row r="130" spans="3:3">
      <c r="C130" s="147"/>
    </row>
  </sheetData>
  <mergeCells count="2">
    <mergeCell ref="G6:K6"/>
    <mergeCell ref="L6:P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8D841-6C18-5C44-AFFA-D707B41A6F65}">
  <sheetPr>
    <tabColor rgb="FF002060"/>
  </sheetPr>
  <dimension ref="A1"/>
  <sheetViews>
    <sheetView workbookViewId="0">
      <selection activeCell="N39" sqref="A39:N45"/>
    </sheetView>
  </sheetViews>
  <sheetFormatPr baseColWidth="10" defaultColWidth="11.5" defaultRowHeight="13"/>
  <sheetData>
    <row r="1" spans="1:1">
      <c r="A1" s="30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F91F8-D178-D04C-8C63-C9CC2E5006C6}">
  <dimension ref="B2:AD110"/>
  <sheetViews>
    <sheetView topLeftCell="O1" zoomScale="114" workbookViewId="0">
      <selection activeCell="T19" sqref="T19"/>
    </sheetView>
  </sheetViews>
  <sheetFormatPr baseColWidth="10" defaultColWidth="8.5" defaultRowHeight="16"/>
  <cols>
    <col min="1" max="3" width="2.5" style="57" customWidth="1"/>
    <col min="4" max="4" width="30.33203125" style="57" customWidth="1"/>
    <col min="5" max="5" width="0.1640625" style="57" customWidth="1"/>
    <col min="6" max="6" width="10.5" style="57" bestFit="1" customWidth="1"/>
    <col min="7" max="7" width="12" style="57" customWidth="1"/>
    <col min="8" max="8" width="11.1640625" style="57" customWidth="1"/>
    <col min="9" max="9" width="13" style="57" customWidth="1"/>
    <col min="10" max="10" width="13.33203125" style="57" bestFit="1" customWidth="1"/>
    <col min="11" max="11" width="10.83203125" style="57" bestFit="1" customWidth="1"/>
    <col min="12" max="13" width="11.5" style="57" bestFit="1" customWidth="1"/>
    <col min="14" max="14" width="11.6640625" style="57" bestFit="1" customWidth="1"/>
    <col min="15" max="15" width="12.33203125" style="57" bestFit="1" customWidth="1"/>
    <col min="16" max="16" width="11.5" style="57" customWidth="1"/>
    <col min="17" max="18" width="8.5" style="57"/>
    <col min="19" max="19" width="12.1640625" style="57" customWidth="1"/>
    <col min="20" max="20" width="16.6640625" style="57" customWidth="1"/>
    <col min="21" max="16384" width="8.5" style="57"/>
  </cols>
  <sheetData>
    <row r="2" spans="2:30" ht="24">
      <c r="B2" s="374"/>
      <c r="C2" s="369"/>
      <c r="D2" s="370" t="s">
        <v>32</v>
      </c>
      <c r="E2" s="375"/>
      <c r="F2" s="375"/>
      <c r="G2" s="375"/>
      <c r="H2" s="375"/>
      <c r="I2" s="375"/>
      <c r="J2" s="375"/>
      <c r="K2" s="375"/>
      <c r="L2" s="375"/>
      <c r="M2" s="375"/>
      <c r="N2" s="375"/>
      <c r="O2" s="375"/>
      <c r="Q2" s="374"/>
      <c r="R2" s="369"/>
      <c r="S2" s="370" t="s">
        <v>32</v>
      </c>
      <c r="T2" s="375"/>
      <c r="U2" s="375"/>
      <c r="V2" s="375"/>
      <c r="W2" s="375"/>
      <c r="X2" s="375"/>
      <c r="Y2" s="375"/>
      <c r="Z2" s="375"/>
      <c r="AA2" s="375"/>
      <c r="AB2" s="375"/>
      <c r="AC2" s="375"/>
      <c r="AD2" s="375"/>
    </row>
    <row r="3" spans="2:30">
      <c r="B3" s="374"/>
      <c r="C3" s="369"/>
      <c r="D3" s="369"/>
      <c r="E3" s="375"/>
      <c r="F3" s="375"/>
      <c r="G3" s="375"/>
      <c r="H3" s="375"/>
      <c r="I3" s="375"/>
      <c r="J3" s="375"/>
      <c r="K3" s="375"/>
      <c r="L3" s="375"/>
      <c r="M3" s="375"/>
      <c r="N3" s="375"/>
      <c r="O3" s="375"/>
      <c r="Q3" s="374"/>
      <c r="R3" s="369"/>
      <c r="S3" s="369"/>
      <c r="T3" s="375"/>
      <c r="U3" s="375"/>
      <c r="V3" s="375"/>
      <c r="W3" s="375"/>
      <c r="X3" s="375"/>
      <c r="Y3" s="375"/>
      <c r="Z3" s="375"/>
      <c r="AA3" s="375"/>
      <c r="AB3" s="375"/>
      <c r="AC3" s="375"/>
      <c r="AD3" s="375"/>
    </row>
    <row r="4" spans="2:30">
      <c r="B4" s="374"/>
      <c r="C4" s="369"/>
      <c r="D4" s="369" t="s">
        <v>33</v>
      </c>
      <c r="E4" s="375"/>
      <c r="F4" s="375"/>
      <c r="G4" s="375"/>
      <c r="H4" s="375"/>
      <c r="I4" s="375"/>
      <c r="J4" s="375"/>
      <c r="K4" s="375"/>
      <c r="L4" s="375"/>
      <c r="M4" s="375"/>
      <c r="N4" s="375"/>
      <c r="O4" s="375"/>
      <c r="Q4" s="374"/>
      <c r="R4" s="369"/>
      <c r="S4" s="369" t="s">
        <v>33</v>
      </c>
      <c r="T4" s="375"/>
      <c r="U4" s="375"/>
      <c r="V4" s="375"/>
      <c r="W4" s="375"/>
      <c r="X4" s="375"/>
      <c r="Y4" s="375"/>
      <c r="Z4" s="375"/>
      <c r="AA4" s="375"/>
      <c r="AB4" s="375"/>
      <c r="AC4" s="375"/>
      <c r="AD4" s="375"/>
    </row>
    <row r="5" spans="2:30">
      <c r="B5" s="374"/>
      <c r="C5" s="369"/>
      <c r="D5" s="369" t="s">
        <v>34</v>
      </c>
      <c r="E5" s="383" t="str">
        <f>Cover!C11</f>
        <v>Base Case</v>
      </c>
      <c r="F5" s="375"/>
      <c r="G5" s="375"/>
      <c r="H5" s="375"/>
      <c r="I5" s="375"/>
      <c r="J5" s="375"/>
      <c r="K5" s="375"/>
      <c r="L5" s="375"/>
      <c r="M5" s="375"/>
      <c r="N5" s="375"/>
      <c r="O5" s="375"/>
      <c r="Q5" s="374"/>
      <c r="R5" s="369"/>
      <c r="S5" s="369" t="s">
        <v>34</v>
      </c>
      <c r="T5" s="383">
        <f>Cover!R11</f>
        <v>0</v>
      </c>
      <c r="U5" s="375"/>
      <c r="V5" s="375"/>
      <c r="W5" s="375"/>
      <c r="X5" s="375"/>
      <c r="Y5" s="375"/>
      <c r="Z5" s="375"/>
      <c r="AA5" s="375"/>
      <c r="AB5" s="375"/>
      <c r="AC5" s="375"/>
      <c r="AD5" s="375"/>
    </row>
    <row r="6" spans="2:30">
      <c r="B6" s="374"/>
      <c r="C6" s="369"/>
      <c r="D6" s="369"/>
      <c r="E6" s="375"/>
      <c r="F6" s="781" t="s">
        <v>35</v>
      </c>
      <c r="G6" s="780"/>
      <c r="H6" s="780"/>
      <c r="I6" s="780"/>
      <c r="J6" s="780"/>
      <c r="K6" s="782" t="s">
        <v>36</v>
      </c>
      <c r="L6" s="782"/>
      <c r="M6" s="782"/>
      <c r="N6" s="782"/>
      <c r="O6" s="782"/>
      <c r="Q6" s="374"/>
      <c r="R6" s="369"/>
      <c r="S6" s="369"/>
      <c r="T6" s="375"/>
      <c r="U6" s="781" t="s">
        <v>35</v>
      </c>
      <c r="V6" s="780"/>
      <c r="W6" s="780"/>
      <c r="X6" s="780"/>
      <c r="Y6" s="780"/>
      <c r="Z6" s="782" t="s">
        <v>36</v>
      </c>
      <c r="AA6" s="782"/>
      <c r="AB6" s="782"/>
      <c r="AC6" s="782"/>
      <c r="AD6" s="782"/>
    </row>
    <row r="7" spans="2:30">
      <c r="B7" s="374"/>
      <c r="C7" s="369"/>
      <c r="D7" s="369"/>
      <c r="E7" s="383" t="s">
        <v>58</v>
      </c>
      <c r="F7" s="385">
        <v>20</v>
      </c>
      <c r="G7" s="385">
        <f>F7+1</f>
        <v>21</v>
      </c>
      <c r="H7" s="385">
        <f t="shared" ref="H7:I7" si="0">G7+1</f>
        <v>22</v>
      </c>
      <c r="I7" s="385">
        <f t="shared" si="0"/>
        <v>23</v>
      </c>
      <c r="J7" s="385">
        <f>I7+1</f>
        <v>24</v>
      </c>
      <c r="K7" s="377">
        <f t="shared" ref="K7:O7" si="1">J7+1</f>
        <v>25</v>
      </c>
      <c r="L7" s="377">
        <f t="shared" si="1"/>
        <v>26</v>
      </c>
      <c r="M7" s="377">
        <f t="shared" si="1"/>
        <v>27</v>
      </c>
      <c r="N7" s="377">
        <f t="shared" si="1"/>
        <v>28</v>
      </c>
      <c r="O7" s="377">
        <f t="shared" si="1"/>
        <v>29</v>
      </c>
      <c r="Q7" s="374"/>
      <c r="R7" s="369"/>
      <c r="S7" s="369"/>
      <c r="T7" s="383" t="s">
        <v>58</v>
      </c>
      <c r="U7" s="385">
        <v>20</v>
      </c>
      <c r="V7" s="385">
        <f t="shared" ref="V7:AD7" si="2">U7+1</f>
        <v>21</v>
      </c>
      <c r="W7" s="385">
        <f t="shared" si="2"/>
        <v>22</v>
      </c>
      <c r="X7" s="385">
        <f t="shared" si="2"/>
        <v>23</v>
      </c>
      <c r="Y7" s="385">
        <f t="shared" si="2"/>
        <v>24</v>
      </c>
      <c r="Z7" s="377">
        <f t="shared" si="2"/>
        <v>25</v>
      </c>
      <c r="AA7" s="377">
        <f t="shared" si="2"/>
        <v>26</v>
      </c>
      <c r="AB7" s="377">
        <f t="shared" si="2"/>
        <v>27</v>
      </c>
      <c r="AC7" s="377">
        <f t="shared" si="2"/>
        <v>28</v>
      </c>
      <c r="AD7" s="377">
        <f t="shared" si="2"/>
        <v>29</v>
      </c>
    </row>
    <row r="8" spans="2:30" hidden="1"/>
    <row r="9" spans="2:30" hidden="1">
      <c r="B9" s="386">
        <v>1</v>
      </c>
      <c r="C9" s="59"/>
      <c r="D9" s="375" t="s">
        <v>445</v>
      </c>
      <c r="E9" s="374"/>
      <c r="F9" s="374"/>
      <c r="G9" s="374"/>
      <c r="H9" s="374"/>
      <c r="I9" s="374"/>
      <c r="J9" s="374"/>
      <c r="K9" s="374"/>
      <c r="L9" s="374"/>
      <c r="M9" s="374"/>
      <c r="N9" s="374"/>
      <c r="O9" s="374"/>
      <c r="Q9" s="386">
        <v>1</v>
      </c>
      <c r="R9" s="59"/>
      <c r="S9" s="375" t="s">
        <v>445</v>
      </c>
      <c r="T9" s="374"/>
      <c r="U9" s="374"/>
      <c r="V9" s="374"/>
      <c r="W9" s="374"/>
      <c r="X9" s="374"/>
      <c r="Y9" s="374"/>
      <c r="Z9" s="374"/>
      <c r="AA9" s="374"/>
      <c r="AB9" s="374"/>
      <c r="AC9" s="374"/>
      <c r="AD9" s="374"/>
    </row>
    <row r="11" spans="2:30">
      <c r="D11" s="483" t="s">
        <v>40</v>
      </c>
      <c r="F11" s="463">
        <f>'3FS'!E13</f>
        <v>0.219</v>
      </c>
      <c r="G11" s="463">
        <f>'3FS'!F13</f>
        <v>4.5979999999999999</v>
      </c>
      <c r="H11" s="463">
        <f>'3FS'!G13</f>
        <v>17.923999999999999</v>
      </c>
      <c r="I11" s="463">
        <f>'3FS'!H13</f>
        <v>16.378</v>
      </c>
      <c r="J11" s="463">
        <f>'3FS'!I13</f>
        <v>15.606</v>
      </c>
      <c r="K11" s="463">
        <f>'3FS'!J13</f>
        <v>174.94326000000001</v>
      </c>
      <c r="L11" s="463">
        <f>'3FS'!K13</f>
        <v>769.7380979717999</v>
      </c>
      <c r="M11" s="463">
        <f>'3FS'!L13</f>
        <v>1641.2176299004077</v>
      </c>
      <c r="N11" s="463">
        <f>'3FS'!M13</f>
        <v>2259.9810283825741</v>
      </c>
      <c r="O11" s="463">
        <f>'3FS'!N13</f>
        <v>2543.712473181959</v>
      </c>
      <c r="S11" s="483" t="s">
        <v>40</v>
      </c>
      <c r="U11" s="463">
        <f>'3FS'!E13</f>
        <v>0.219</v>
      </c>
      <c r="V11" s="463">
        <f>'3FS'!F13</f>
        <v>4.5979999999999999</v>
      </c>
      <c r="W11" s="463">
        <f>'3FS'!G13</f>
        <v>17.923999999999999</v>
      </c>
      <c r="X11" s="463">
        <f>'3FS'!H13</f>
        <v>16.378</v>
      </c>
      <c r="Y11" s="463">
        <f>'3FS'!I13</f>
        <v>15.606</v>
      </c>
      <c r="Z11" s="463">
        <f>'3FS'!J13</f>
        <v>174.94326000000001</v>
      </c>
      <c r="AA11" s="463">
        <f>'3FS'!K13</f>
        <v>769.7380979717999</v>
      </c>
      <c r="AB11" s="463">
        <f>'3FS'!L13</f>
        <v>1641.2176299004077</v>
      </c>
      <c r="AC11" s="463">
        <f>'3FS'!M13</f>
        <v>2259.9810283825741</v>
      </c>
      <c r="AD11" s="463">
        <f>'3FS'!N13</f>
        <v>2543.712473181959</v>
      </c>
    </row>
    <row r="12" spans="2:30">
      <c r="D12" s="483" t="s">
        <v>527</v>
      </c>
      <c r="F12" s="463"/>
      <c r="G12" s="765">
        <f t="shared" ref="G12:O12" si="3">(G11-F11)/F11</f>
        <v>19.995433789954337</v>
      </c>
      <c r="H12" s="765">
        <f t="shared" si="3"/>
        <v>2.8982166159199654</v>
      </c>
      <c r="I12" s="765">
        <f t="shared" si="3"/>
        <v>-8.6253068511492934E-2</v>
      </c>
      <c r="J12" s="765">
        <f t="shared" si="3"/>
        <v>-4.7136402491146673E-2</v>
      </c>
      <c r="K12" s="765">
        <f t="shared" si="3"/>
        <v>10.210000000000001</v>
      </c>
      <c r="L12" s="765">
        <f t="shared" si="3"/>
        <v>3.399929999999999</v>
      </c>
      <c r="M12" s="765">
        <f t="shared" si="3"/>
        <v>1.1321766899999997</v>
      </c>
      <c r="N12" s="765">
        <f t="shared" si="3"/>
        <v>0.37701483777000017</v>
      </c>
      <c r="O12" s="765">
        <f t="shared" si="3"/>
        <v>0.12554594097740995</v>
      </c>
      <c r="S12" s="483" t="s">
        <v>163</v>
      </c>
      <c r="U12" s="463">
        <f>'3FS'!E17</f>
        <v>-5.29</v>
      </c>
      <c r="V12" s="463">
        <f>'3FS'!F17</f>
        <v>-41.884999999999998</v>
      </c>
      <c r="W12" s="463">
        <f>'3FS'!G17</f>
        <v>-135.33599999999998</v>
      </c>
      <c r="X12" s="463">
        <f>'3FS'!H17</f>
        <v>-73.42</v>
      </c>
      <c r="Y12" s="463">
        <f>'3FS'!I17</f>
        <v>-83.26100000000001</v>
      </c>
      <c r="Z12" s="463">
        <f>'3FS'!J17</f>
        <v>69.977304000000004</v>
      </c>
      <c r="AA12" s="463">
        <f>'3FS'!K17</f>
        <v>327.13869163801502</v>
      </c>
      <c r="AB12" s="463">
        <f>'3FS'!L17</f>
        <v>738.54793345518362</v>
      </c>
      <c r="AC12" s="463">
        <f>'3FS'!M17</f>
        <v>1073.490988481723</v>
      </c>
      <c r="AD12" s="463">
        <f>'3FS'!N17</f>
        <v>1271.8562365909797</v>
      </c>
    </row>
    <row r="13" spans="2:30">
      <c r="D13" s="483" t="s">
        <v>163</v>
      </c>
      <c r="F13" s="463">
        <f>'3FS'!E17</f>
        <v>-5.29</v>
      </c>
      <c r="G13" s="463">
        <f>'3FS'!F17</f>
        <v>-41.884999999999998</v>
      </c>
      <c r="H13" s="463">
        <f>'3FS'!G17</f>
        <v>-135.33599999999998</v>
      </c>
      <c r="I13" s="463">
        <f>'3FS'!H17</f>
        <v>-73.42</v>
      </c>
      <c r="J13" s="463">
        <f>'3FS'!I17</f>
        <v>-83.26100000000001</v>
      </c>
      <c r="K13" s="463">
        <f>'3FS'!J17</f>
        <v>69.977304000000004</v>
      </c>
      <c r="L13" s="463">
        <f>'3FS'!K17</f>
        <v>327.13869163801502</v>
      </c>
      <c r="M13" s="463">
        <f>'3FS'!L17</f>
        <v>738.54793345518362</v>
      </c>
      <c r="N13" s="463">
        <f>'3FS'!M17</f>
        <v>1073.490988481723</v>
      </c>
      <c r="O13" s="463">
        <f>'3FS'!N17</f>
        <v>1271.8562365909797</v>
      </c>
      <c r="S13" s="483" t="s">
        <v>41</v>
      </c>
      <c r="U13" s="463">
        <f>'3FS'!E29</f>
        <v>0</v>
      </c>
      <c r="V13" s="463">
        <f>'3FS'!F29</f>
        <v>-101.693</v>
      </c>
      <c r="W13" s="463">
        <f>'3FS'!G29</f>
        <v>-207.59800000000001</v>
      </c>
      <c r="X13" s="463">
        <f>'3FS'!H29</f>
        <v>-136.07</v>
      </c>
      <c r="Y13" s="463">
        <f>'3FS'!I29</f>
        <v>-158.21700000000001</v>
      </c>
      <c r="Z13" s="463">
        <f ca="1">'3FS'!J29</f>
        <v>-0.43026561351621778</v>
      </c>
      <c r="AA13" s="463">
        <f ca="1">'3FS'!K29</f>
        <v>64.3267512260377</v>
      </c>
      <c r="AB13" s="463">
        <f ca="1">'3FS'!L29</f>
        <v>361.55404101209166</v>
      </c>
      <c r="AC13" s="463">
        <f ca="1">'3FS'!M29</f>
        <v>845.62580227862532</v>
      </c>
      <c r="AD13" s="463">
        <f ca="1">'3FS'!N29</f>
        <v>1397.5829716665787</v>
      </c>
    </row>
    <row r="14" spans="2:30">
      <c r="D14" s="483" t="s">
        <v>274</v>
      </c>
      <c r="F14" s="765">
        <f>F13/F$11</f>
        <v>-24.155251141552512</v>
      </c>
      <c r="G14" s="765">
        <f t="shared" ref="G14:O14" si="4">G13/G$11</f>
        <v>-9.1093953892996957</v>
      </c>
      <c r="H14" s="765">
        <f t="shared" si="4"/>
        <v>-7.5505467529569286</v>
      </c>
      <c r="I14" s="765">
        <f t="shared" si="4"/>
        <v>-4.4828428379533518</v>
      </c>
      <c r="J14" s="765">
        <f t="shared" si="4"/>
        <v>-5.3351915929770604</v>
      </c>
      <c r="K14" s="765">
        <f t="shared" si="4"/>
        <v>0.4</v>
      </c>
      <c r="L14" s="765">
        <f t="shared" si="4"/>
        <v>0.4250000000000001</v>
      </c>
      <c r="M14" s="765">
        <f t="shared" si="4"/>
        <v>0.45000000000000012</v>
      </c>
      <c r="N14" s="765">
        <f t="shared" si="4"/>
        <v>0.47500000000000014</v>
      </c>
      <c r="O14" s="765">
        <f t="shared" si="4"/>
        <v>0.50000000000000011</v>
      </c>
      <c r="S14" s="483" t="s">
        <v>171</v>
      </c>
      <c r="U14" s="463">
        <f>'3FS'!E26</f>
        <v>-37.416999999999994</v>
      </c>
      <c r="V14" s="463">
        <f>'3FS'!F26</f>
        <v>-104.306</v>
      </c>
      <c r="W14" s="463">
        <f>'3FS'!G26</f>
        <v>-214.41199999999998</v>
      </c>
      <c r="X14" s="463">
        <f>'3FS'!H26</f>
        <v>-145.77800000000002</v>
      </c>
      <c r="Y14" s="463">
        <f>'3FS'!I26</f>
        <v>-166.066</v>
      </c>
      <c r="Z14" s="463">
        <f>'3FS'!J26</f>
        <v>-17.494326000000001</v>
      </c>
      <c r="AA14" s="463">
        <f>'3FS'!K26</f>
        <v>30.789523918872021</v>
      </c>
      <c r="AB14" s="463">
        <f>'3FS'!L26</f>
        <v>295.41917338207344</v>
      </c>
      <c r="AC14" s="463">
        <f>'3FS'!M26</f>
        <v>723.19392908242389</v>
      </c>
      <c r="AD14" s="463">
        <f>'3FS'!N26</f>
        <v>1170.1077376637013</v>
      </c>
    </row>
    <row r="15" spans="2:30">
      <c r="D15" s="483" t="s">
        <v>41</v>
      </c>
      <c r="F15" s="463">
        <f>'3FS'!E29</f>
        <v>0</v>
      </c>
      <c r="G15" s="463">
        <f>'3FS'!F29</f>
        <v>-101.693</v>
      </c>
      <c r="H15" s="463">
        <f>'3FS'!G29</f>
        <v>-207.59800000000001</v>
      </c>
      <c r="I15" s="463">
        <f>'3FS'!H29</f>
        <v>-136.07</v>
      </c>
      <c r="J15" s="463">
        <f>'3FS'!I29</f>
        <v>-158.21700000000001</v>
      </c>
      <c r="K15" s="463">
        <f ca="1">'3FS'!J29</f>
        <v>-0.43026561351621778</v>
      </c>
      <c r="L15" s="463">
        <f ca="1">'3FS'!K29</f>
        <v>64.3267512260377</v>
      </c>
      <c r="M15" s="463">
        <f ca="1">'3FS'!L29</f>
        <v>361.55404101209166</v>
      </c>
      <c r="N15" s="463">
        <f ca="1">'3FS'!M29</f>
        <v>845.62580227862532</v>
      </c>
      <c r="O15" s="463">
        <f ca="1">'3FS'!N29</f>
        <v>1397.5829716665787</v>
      </c>
      <c r="S15" s="483" t="s">
        <v>44</v>
      </c>
      <c r="U15" s="463">
        <f>'3FS'!E40</f>
        <v>-70.643000000000001</v>
      </c>
      <c r="V15" s="463">
        <f>'3FS'!F40</f>
        <v>-124.26599999999999</v>
      </c>
      <c r="W15" s="463">
        <f>'3FS'!G40</f>
        <v>-229.76699999999997</v>
      </c>
      <c r="X15" s="463">
        <f>'3FS'!H40</f>
        <v>-229.547</v>
      </c>
      <c r="Y15" s="463">
        <f>'3FS'!I40</f>
        <v>-685.83699999999999</v>
      </c>
      <c r="Z15" s="463">
        <f ca="1">'3FS'!J40</f>
        <v>-39.453387734220996</v>
      </c>
      <c r="AA15" s="463">
        <f ca="1">'3FS'!K40</f>
        <v>9.160811386179855</v>
      </c>
      <c r="AB15" s="463">
        <f ca="1">'3FS'!L40</f>
        <v>290.06503591862941</v>
      </c>
      <c r="AC15" s="463">
        <f ca="1">'3FS'!M40</f>
        <v>712.17894469801206</v>
      </c>
      <c r="AD15" s="463">
        <f ca="1">'3FS'!N40</f>
        <v>1153.5992856590333</v>
      </c>
    </row>
    <row r="16" spans="2:30">
      <c r="D16" s="483" t="s">
        <v>274</v>
      </c>
      <c r="F16" s="765">
        <f>F15/F$11</f>
        <v>0</v>
      </c>
      <c r="G16" s="765">
        <f t="shared" ref="G16:O16" si="5">G15/G$11</f>
        <v>-22.116789908655939</v>
      </c>
      <c r="H16" s="765">
        <f t="shared" si="5"/>
        <v>-11.582124525775498</v>
      </c>
      <c r="I16" s="765">
        <f t="shared" si="5"/>
        <v>-8.3080962266454996</v>
      </c>
      <c r="J16" s="765">
        <f t="shared" si="5"/>
        <v>-10.138216070742024</v>
      </c>
      <c r="K16" s="765">
        <f t="shared" ca="1" si="5"/>
        <v>-2.4594580752423257E-3</v>
      </c>
      <c r="L16" s="765">
        <f t="shared" ca="1" si="5"/>
        <v>8.3569660116257327E-2</v>
      </c>
      <c r="M16" s="765">
        <f t="shared" ca="1" si="5"/>
        <v>0.2202962205774206</v>
      </c>
      <c r="N16" s="765">
        <f t="shared" ca="1" si="5"/>
        <v>0.37417384998307873</v>
      </c>
      <c r="O16" s="765">
        <f t="shared" ca="1" si="5"/>
        <v>0.54942647268554146</v>
      </c>
      <c r="S16" s="483"/>
      <c r="U16" s="463"/>
      <c r="V16" s="765"/>
      <c r="W16" s="765"/>
      <c r="X16" s="765"/>
      <c r="Y16" s="765"/>
      <c r="Z16" s="765"/>
      <c r="AA16" s="765"/>
      <c r="AB16" s="765"/>
      <c r="AC16" s="765"/>
      <c r="AD16" s="765"/>
    </row>
    <row r="17" spans="4:30">
      <c r="D17" s="483" t="s">
        <v>171</v>
      </c>
      <c r="F17" s="463">
        <f>'3FS'!E26</f>
        <v>-37.416999999999994</v>
      </c>
      <c r="G17" s="463">
        <f>'3FS'!F26</f>
        <v>-104.306</v>
      </c>
      <c r="H17" s="463">
        <f>'3FS'!G26</f>
        <v>-214.41199999999998</v>
      </c>
      <c r="I17" s="463">
        <f>'3FS'!H26</f>
        <v>-145.77800000000002</v>
      </c>
      <c r="J17" s="463">
        <f>'3FS'!I26</f>
        <v>-166.066</v>
      </c>
      <c r="K17" s="463">
        <f>'3FS'!J26</f>
        <v>-17.494326000000001</v>
      </c>
      <c r="L17" s="463">
        <f>'3FS'!K26</f>
        <v>30.789523918872021</v>
      </c>
      <c r="M17" s="463">
        <f>'3FS'!L26</f>
        <v>295.41917338207344</v>
      </c>
      <c r="N17" s="463">
        <f>'3FS'!M26</f>
        <v>723.19392908242389</v>
      </c>
      <c r="O17" s="463">
        <f>'3FS'!N26</f>
        <v>1170.1077376637013</v>
      </c>
      <c r="S17" s="483" t="s">
        <v>171</v>
      </c>
      <c r="U17" s="463">
        <f>'3FS'!T26</f>
        <v>0</v>
      </c>
      <c r="V17" s="463"/>
      <c r="W17" s="463"/>
      <c r="X17" s="463"/>
      <c r="Y17" s="463"/>
      <c r="Z17" s="463"/>
      <c r="AA17" s="463"/>
      <c r="AB17" s="463"/>
      <c r="AC17" s="463"/>
      <c r="AD17" s="463"/>
    </row>
    <row r="18" spans="4:30">
      <c r="D18" s="483" t="s">
        <v>274</v>
      </c>
      <c r="F18" s="765">
        <f>F17/F$11</f>
        <v>-170.85388127853878</v>
      </c>
      <c r="G18" s="765">
        <f t="shared" ref="G18:O18" si="6">G17/G$11</f>
        <v>-22.685080469769463</v>
      </c>
      <c r="H18" s="765">
        <f t="shared" si="6"/>
        <v>-11.96228520419549</v>
      </c>
      <c r="I18" s="765">
        <f t="shared" si="6"/>
        <v>-8.9008425937232882</v>
      </c>
      <c r="J18" s="765">
        <f t="shared" si="6"/>
        <v>-10.641163655004485</v>
      </c>
      <c r="K18" s="765">
        <f t="shared" si="6"/>
        <v>-0.1</v>
      </c>
      <c r="L18" s="765">
        <f t="shared" si="6"/>
        <v>4.0000000000000036E-2</v>
      </c>
      <c r="M18" s="765">
        <f t="shared" si="6"/>
        <v>0.18000000000000002</v>
      </c>
      <c r="N18" s="765">
        <f t="shared" si="6"/>
        <v>0.32000000000000006</v>
      </c>
      <c r="O18" s="765">
        <f t="shared" si="6"/>
        <v>0.46000000000000008</v>
      </c>
      <c r="S18" s="483"/>
      <c r="U18" s="463"/>
      <c r="V18" s="463"/>
      <c r="W18" s="463"/>
      <c r="X18" s="463"/>
      <c r="Y18" s="463"/>
      <c r="Z18" s="463"/>
      <c r="AA18" s="463"/>
      <c r="AB18" s="463"/>
      <c r="AC18" s="463"/>
      <c r="AD18" s="463"/>
    </row>
    <row r="19" spans="4:30">
      <c r="D19" s="483" t="s">
        <v>44</v>
      </c>
      <c r="F19" s="463">
        <f>'3FS'!E40</f>
        <v>-70.643000000000001</v>
      </c>
      <c r="G19" s="463">
        <f>'3FS'!F40</f>
        <v>-124.26599999999999</v>
      </c>
      <c r="H19" s="463">
        <f>'3FS'!G40</f>
        <v>-229.76699999999997</v>
      </c>
      <c r="I19" s="463">
        <f>'3FS'!H40</f>
        <v>-229.547</v>
      </c>
      <c r="J19" s="463">
        <f>'3FS'!I40</f>
        <v>-685.83699999999999</v>
      </c>
      <c r="K19" s="463">
        <f ca="1">'3FS'!J40</f>
        <v>-39.453387734220996</v>
      </c>
      <c r="L19" s="463">
        <f ca="1">'3FS'!K40</f>
        <v>9.160811386179855</v>
      </c>
      <c r="M19" s="463">
        <f ca="1">'3FS'!L40</f>
        <v>290.06503591862941</v>
      </c>
      <c r="N19" s="463">
        <f ca="1">'3FS'!M40</f>
        <v>712.17894469801206</v>
      </c>
      <c r="O19" s="463">
        <f ca="1">'3FS'!N40</f>
        <v>1153.5992856590333</v>
      </c>
      <c r="S19" s="483"/>
      <c r="U19" s="463">
        <f>'3FS'!T40</f>
        <v>0</v>
      </c>
      <c r="V19" s="463"/>
      <c r="W19" s="463"/>
      <c r="X19" s="463"/>
      <c r="Y19" s="463"/>
      <c r="Z19" s="463"/>
      <c r="AA19" s="463"/>
      <c r="AB19" s="463"/>
      <c r="AC19" s="463"/>
      <c r="AD19" s="463"/>
    </row>
    <row r="20" spans="4:30">
      <c r="D20" s="483" t="s">
        <v>274</v>
      </c>
      <c r="F20" s="765">
        <f>F19/F$11</f>
        <v>-322.57077625570776</v>
      </c>
      <c r="G20" s="765">
        <f t="shared" ref="G20:O20" si="7">G19/G$11</f>
        <v>-27.026098303610265</v>
      </c>
      <c r="H20" s="765">
        <f t="shared" si="7"/>
        <v>-12.818957821914749</v>
      </c>
      <c r="I20" s="765">
        <f t="shared" si="7"/>
        <v>-14.015569666625961</v>
      </c>
      <c r="J20" s="765">
        <f t="shared" si="7"/>
        <v>-43.947007561194411</v>
      </c>
      <c r="K20" s="765">
        <f t="shared" ca="1" si="7"/>
        <v>-0.2255210502777929</v>
      </c>
      <c r="L20" s="765">
        <f t="shared" ca="1" si="7"/>
        <v>1.1901205631263258E-2</v>
      </c>
      <c r="M20" s="765">
        <f t="shared" ca="1" si="7"/>
        <v>0.17673770414971177</v>
      </c>
      <c r="N20" s="765">
        <f t="shared" ca="1" si="7"/>
        <v>0.31512607218995337</v>
      </c>
      <c r="O20" s="765">
        <f t="shared" ca="1" si="7"/>
        <v>0.45351009511542112</v>
      </c>
      <c r="S20" s="483"/>
      <c r="U20" s="463"/>
      <c r="V20" s="765"/>
      <c r="W20" s="765"/>
      <c r="X20" s="765"/>
      <c r="Y20" s="765"/>
      <c r="Z20" s="765"/>
      <c r="AA20" s="765"/>
      <c r="AB20" s="765"/>
      <c r="AC20" s="765"/>
      <c r="AD20" s="765"/>
    </row>
    <row r="21" spans="4:30">
      <c r="D21" s="483"/>
      <c r="F21" s="463"/>
      <c r="G21" s="463"/>
      <c r="H21" s="463"/>
      <c r="I21" s="463"/>
      <c r="J21" s="463"/>
      <c r="K21" s="463"/>
      <c r="L21" s="463"/>
      <c r="M21" s="463"/>
      <c r="N21" s="463"/>
      <c r="O21" s="463"/>
    </row>
    <row r="22" spans="4:30">
      <c r="K22" s="782">
        <v>2024</v>
      </c>
      <c r="L22" s="782"/>
      <c r="M22" s="782"/>
      <c r="N22" s="782"/>
    </row>
    <row r="23" spans="4:30">
      <c r="K23" s="687">
        <v>1</v>
      </c>
      <c r="L23" s="687">
        <f t="shared" ref="L23" si="8">K23+1</f>
        <v>2</v>
      </c>
      <c r="M23" s="687">
        <f t="shared" ref="M23" si="9">L23+1</f>
        <v>3</v>
      </c>
      <c r="N23" s="687">
        <f t="shared" ref="N23" si="10">M23+1</f>
        <v>4</v>
      </c>
    </row>
    <row r="24" spans="4:30">
      <c r="J24" s="69" t="s">
        <v>452</v>
      </c>
      <c r="K24" s="57">
        <v>6.6</v>
      </c>
      <c r="L24" s="57">
        <v>0.9</v>
      </c>
      <c r="M24" s="57">
        <v>0.85</v>
      </c>
      <c r="N24" s="57">
        <v>7.3</v>
      </c>
      <c r="O24" s="57">
        <f>SUM(K24:N24)</f>
        <v>15.649999999999999</v>
      </c>
    </row>
    <row r="25" spans="4:30">
      <c r="K25" s="782">
        <v>2025</v>
      </c>
      <c r="L25" s="782"/>
      <c r="M25" s="782"/>
      <c r="N25" s="782"/>
      <c r="O25" s="689"/>
      <c r="Q25" s="782">
        <v>2025</v>
      </c>
      <c r="R25" s="782"/>
      <c r="S25" s="782"/>
      <c r="T25" s="782"/>
    </row>
    <row r="26" spans="4:30">
      <c r="K26" s="687">
        <v>1</v>
      </c>
      <c r="L26" s="687">
        <f t="shared" ref="L26" si="11">K26+1</f>
        <v>2</v>
      </c>
      <c r="M26" s="687">
        <f t="shared" ref="M26" si="12">L26+1</f>
        <v>3</v>
      </c>
      <c r="N26" s="687">
        <f t="shared" ref="N26" si="13">M26+1</f>
        <v>4</v>
      </c>
      <c r="O26" s="690"/>
      <c r="Q26" s="687">
        <v>1</v>
      </c>
      <c r="R26" s="687">
        <f t="shared" ref="R26" si="14">Q26+1</f>
        <v>2</v>
      </c>
      <c r="S26" s="687">
        <f t="shared" ref="S26" si="15">R26+1</f>
        <v>3</v>
      </c>
      <c r="T26" s="687">
        <f t="shared" ref="T26" si="16">S26+1</f>
        <v>4</v>
      </c>
    </row>
    <row r="27" spans="4:30">
      <c r="J27" s="69" t="s">
        <v>452</v>
      </c>
      <c r="K27" s="57">
        <v>10.5</v>
      </c>
      <c r="L27" s="57">
        <v>15.2</v>
      </c>
      <c r="M27" s="57">
        <v>30.5</v>
      </c>
      <c r="N27" s="461">
        <v>93.5</v>
      </c>
      <c r="P27" s="57" t="s">
        <v>356</v>
      </c>
      <c r="Q27" s="57">
        <v>10.5</v>
      </c>
      <c r="R27" s="57">
        <v>15.2</v>
      </c>
      <c r="S27" s="57">
        <v>30.5</v>
      </c>
      <c r="T27" s="461">
        <v>93.5</v>
      </c>
    </row>
    <row r="28" spans="4:30">
      <c r="J28" s="57" t="s">
        <v>453</v>
      </c>
      <c r="K28" s="65">
        <f>K27/K24-1</f>
        <v>0.59090909090909105</v>
      </c>
      <c r="L28" s="65">
        <f t="shared" ref="L28:N28" si="17">L27/L24-1</f>
        <v>15.888888888888889</v>
      </c>
      <c r="M28" s="65">
        <f t="shared" si="17"/>
        <v>34.882352941176471</v>
      </c>
      <c r="N28" s="65">
        <f t="shared" si="17"/>
        <v>11.808219178082192</v>
      </c>
      <c r="P28" s="57" t="s">
        <v>272</v>
      </c>
      <c r="Q28" s="57">
        <v>35</v>
      </c>
      <c r="R28" s="57">
        <v>31</v>
      </c>
      <c r="S28" s="57">
        <v>33.9</v>
      </c>
    </row>
    <row r="29" spans="4:30">
      <c r="P29" s="57" t="s">
        <v>454</v>
      </c>
      <c r="Q29" s="57">
        <f>Q27-Q28</f>
        <v>-24.5</v>
      </c>
      <c r="R29" s="57">
        <f t="shared" ref="R29:S29" si="18">R27-R28</f>
        <v>-15.8</v>
      </c>
      <c r="S29" s="57">
        <f t="shared" si="18"/>
        <v>-3.3999999999999986</v>
      </c>
    </row>
    <row r="30" spans="4:30">
      <c r="P30" s="57" t="s">
        <v>455</v>
      </c>
      <c r="Q30" s="365">
        <f>Q29/Q27</f>
        <v>-2.3333333333333335</v>
      </c>
      <c r="R30" s="365">
        <f t="shared" ref="R30:S30" si="19">R29/R27</f>
        <v>-1.0394736842105263</v>
      </c>
      <c r="S30" s="365">
        <f t="shared" si="19"/>
        <v>-0.11147540983606553</v>
      </c>
      <c r="T30" s="365"/>
    </row>
    <row r="32" spans="4:30">
      <c r="H32" s="789" t="s">
        <v>456</v>
      </c>
      <c r="I32" s="789"/>
      <c r="J32" s="789"/>
      <c r="L32" s="57" t="s">
        <v>457</v>
      </c>
    </row>
    <row r="33" spans="8:12">
      <c r="H33" s="57" t="s">
        <v>458</v>
      </c>
      <c r="I33" s="57" t="s">
        <v>459</v>
      </c>
      <c r="J33" s="57" t="s">
        <v>460</v>
      </c>
      <c r="K33" s="57" t="s">
        <v>458</v>
      </c>
      <c r="L33" s="57" t="s">
        <v>460</v>
      </c>
    </row>
    <row r="34" spans="8:12">
      <c r="H34" s="57" t="s">
        <v>461</v>
      </c>
      <c r="I34" s="57">
        <v>13</v>
      </c>
      <c r="K34" s="57" t="s">
        <v>462</v>
      </c>
      <c r="L34" s="57">
        <v>1.25</v>
      </c>
    </row>
    <row r="35" spans="8:12">
      <c r="H35" s="57" t="s">
        <v>463</v>
      </c>
      <c r="I35" s="57">
        <v>14.2</v>
      </c>
      <c r="J35" s="57">
        <v>59</v>
      </c>
      <c r="K35" s="57" t="s">
        <v>464</v>
      </c>
      <c r="L35" s="57">
        <v>2</v>
      </c>
    </row>
    <row r="36" spans="8:12">
      <c r="H36" s="57" t="s">
        <v>465</v>
      </c>
      <c r="I36" s="57">
        <v>14.4</v>
      </c>
      <c r="J36" s="57">
        <v>52</v>
      </c>
      <c r="K36" s="57" t="s">
        <v>466</v>
      </c>
      <c r="L36" s="57">
        <v>8</v>
      </c>
    </row>
    <row r="37" spans="8:12">
      <c r="H37" s="57" t="s">
        <v>467</v>
      </c>
      <c r="I37" s="57">
        <v>22.6</v>
      </c>
      <c r="J37" s="57">
        <v>91</v>
      </c>
    </row>
    <row r="78" spans="3:3">
      <c r="C78" s="147"/>
    </row>
    <row r="79" spans="3:3">
      <c r="C79" s="57" t="s">
        <v>31</v>
      </c>
    </row>
    <row r="80" spans="3:3">
      <c r="C80" s="147"/>
    </row>
    <row r="81" spans="3:3">
      <c r="C81" s="147"/>
    </row>
    <row r="82" spans="3:3">
      <c r="C82" s="147"/>
    </row>
    <row r="83" spans="3:3">
      <c r="C83" s="147"/>
    </row>
    <row r="84" spans="3:3">
      <c r="C84" s="147"/>
    </row>
    <row r="85" spans="3:3">
      <c r="C85" s="147"/>
    </row>
    <row r="86" spans="3:3">
      <c r="C86" s="147"/>
    </row>
    <row r="87" spans="3:3">
      <c r="C87" s="147"/>
    </row>
    <row r="88" spans="3:3">
      <c r="C88" s="147"/>
    </row>
    <row r="89" spans="3:3">
      <c r="C89" s="147"/>
    </row>
    <row r="90" spans="3:3">
      <c r="C90" s="147"/>
    </row>
    <row r="92" spans="3:3">
      <c r="C92" s="147"/>
    </row>
    <row r="93" spans="3:3">
      <c r="C93" s="147"/>
    </row>
    <row r="94" spans="3:3">
      <c r="C94" s="147"/>
    </row>
    <row r="95" spans="3:3">
      <c r="C95" s="147"/>
    </row>
    <row r="96" spans="3:3">
      <c r="C96" s="147"/>
    </row>
    <row r="97" spans="3:3">
      <c r="C97" s="147"/>
    </row>
    <row r="98" spans="3:3">
      <c r="C98" s="147"/>
    </row>
    <row r="99" spans="3:3">
      <c r="C99" s="147"/>
    </row>
    <row r="103" spans="3:3">
      <c r="C103" s="147"/>
    </row>
    <row r="104" spans="3:3">
      <c r="C104" s="147"/>
    </row>
    <row r="105" spans="3:3">
      <c r="C105" s="147"/>
    </row>
    <row r="106" spans="3:3">
      <c r="C106" s="147"/>
    </row>
    <row r="107" spans="3:3">
      <c r="C107" s="147"/>
    </row>
    <row r="108" spans="3:3">
      <c r="C108" s="147"/>
    </row>
    <row r="109" spans="3:3">
      <c r="C109" s="147"/>
    </row>
    <row r="110" spans="3:3">
      <c r="C110" s="147"/>
    </row>
  </sheetData>
  <mergeCells count="8">
    <mergeCell ref="U6:Y6"/>
    <mergeCell ref="Z6:AD6"/>
    <mergeCell ref="H32:J32"/>
    <mergeCell ref="Q25:T25"/>
    <mergeCell ref="F6:J6"/>
    <mergeCell ref="K6:O6"/>
    <mergeCell ref="K25:N25"/>
    <mergeCell ref="K22:N2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303D7-032B-EB4A-8403-73BDC8862C8E}">
  <dimension ref="C6:I218"/>
  <sheetViews>
    <sheetView zoomScale="183" workbookViewId="0">
      <selection activeCell="C7" sqref="C7"/>
    </sheetView>
  </sheetViews>
  <sheetFormatPr baseColWidth="10" defaultColWidth="11.5" defaultRowHeight="13"/>
  <cols>
    <col min="4" max="6" width="0" hidden="1" customWidth="1"/>
    <col min="8" max="8" width="0" hidden="1" customWidth="1"/>
  </cols>
  <sheetData>
    <row r="6" spans="3:9">
      <c r="C6" s="699" t="s">
        <v>458</v>
      </c>
      <c r="D6" s="699" t="s">
        <v>468</v>
      </c>
      <c r="E6" s="699" t="s">
        <v>469</v>
      </c>
      <c r="F6" s="699" t="s">
        <v>470</v>
      </c>
      <c r="G6" s="699" t="s">
        <v>471</v>
      </c>
      <c r="H6" s="699" t="s">
        <v>472</v>
      </c>
    </row>
    <row r="7" spans="3:9">
      <c r="C7" s="700">
        <v>45966</v>
      </c>
      <c r="D7" s="701">
        <v>14.4</v>
      </c>
      <c r="E7" s="701">
        <v>15.38</v>
      </c>
      <c r="F7" s="701">
        <v>13.89</v>
      </c>
      <c r="G7" s="701">
        <v>14.86</v>
      </c>
      <c r="H7" s="702">
        <v>16463330</v>
      </c>
      <c r="I7">
        <f t="shared" ref="I7:I38" si="0">MAX(G7/G8,1.1)</f>
        <v>1.1000000000000001</v>
      </c>
    </row>
    <row r="8" spans="3:9">
      <c r="C8" s="700">
        <v>45965</v>
      </c>
      <c r="D8" s="701">
        <v>14.74</v>
      </c>
      <c r="E8" s="701">
        <v>15.01</v>
      </c>
      <c r="F8" s="701">
        <v>13.99</v>
      </c>
      <c r="G8" s="701">
        <v>14.1</v>
      </c>
      <c r="H8" s="702">
        <v>17362100</v>
      </c>
      <c r="I8">
        <f t="shared" si="0"/>
        <v>1.1000000000000001</v>
      </c>
    </row>
    <row r="9" spans="3:9">
      <c r="C9" s="700">
        <v>45964</v>
      </c>
      <c r="D9" s="701">
        <v>16.09</v>
      </c>
      <c r="E9" s="701">
        <v>16.600000000000001</v>
      </c>
      <c r="F9" s="701">
        <v>15.52</v>
      </c>
      <c r="G9" s="701">
        <v>15.62</v>
      </c>
      <c r="H9" s="702">
        <v>16526199</v>
      </c>
      <c r="I9">
        <f t="shared" si="0"/>
        <v>1.1000000000000001</v>
      </c>
    </row>
    <row r="10" spans="3:9">
      <c r="C10" s="700">
        <v>45961</v>
      </c>
      <c r="D10" s="701">
        <v>14.65</v>
      </c>
      <c r="E10" s="701">
        <v>16.29</v>
      </c>
      <c r="F10" s="701">
        <v>14.53</v>
      </c>
      <c r="G10" s="701">
        <v>16.03</v>
      </c>
      <c r="H10" s="702">
        <v>24103590</v>
      </c>
      <c r="I10">
        <f t="shared" si="0"/>
        <v>1.119413407821229</v>
      </c>
    </row>
    <row r="11" spans="3:9">
      <c r="C11" s="700">
        <v>45960</v>
      </c>
      <c r="D11" s="701">
        <v>13.26</v>
      </c>
      <c r="E11" s="701">
        <v>14.77</v>
      </c>
      <c r="F11" s="701">
        <v>13.15</v>
      </c>
      <c r="G11" s="701">
        <v>14.32</v>
      </c>
      <c r="H11" s="702">
        <v>24661090</v>
      </c>
      <c r="I11">
        <f t="shared" si="0"/>
        <v>1.1000000000000001</v>
      </c>
    </row>
    <row r="12" spans="3:9">
      <c r="C12" s="700">
        <v>45959</v>
      </c>
      <c r="D12" s="701">
        <v>14.83</v>
      </c>
      <c r="E12" s="701">
        <v>15.46</v>
      </c>
      <c r="F12" s="701">
        <v>13.9</v>
      </c>
      <c r="G12" s="701">
        <v>14.37</v>
      </c>
      <c r="H12" s="702">
        <v>20825580</v>
      </c>
      <c r="I12">
        <f t="shared" si="0"/>
        <v>1.1000000000000001</v>
      </c>
    </row>
    <row r="13" spans="3:9">
      <c r="C13" s="700">
        <v>45958</v>
      </c>
      <c r="D13" s="701">
        <v>15.2</v>
      </c>
      <c r="E13" s="701">
        <v>16.04</v>
      </c>
      <c r="F13" s="701">
        <v>14.64</v>
      </c>
      <c r="G13" s="701">
        <v>15.01</v>
      </c>
      <c r="H13" s="702">
        <v>16255820</v>
      </c>
      <c r="I13">
        <f t="shared" si="0"/>
        <v>1.1000000000000001</v>
      </c>
    </row>
    <row r="14" spans="3:9">
      <c r="C14" s="700">
        <v>45957</v>
      </c>
      <c r="D14" s="701">
        <v>16.239999999999998</v>
      </c>
      <c r="E14" s="701">
        <v>16.95</v>
      </c>
      <c r="F14" s="701">
        <v>15.24</v>
      </c>
      <c r="G14" s="701">
        <v>15.38</v>
      </c>
      <c r="H14" s="702">
        <v>21176471</v>
      </c>
      <c r="I14">
        <f t="shared" si="0"/>
        <v>1.1000000000000001</v>
      </c>
    </row>
    <row r="15" spans="3:9">
      <c r="C15" s="700">
        <v>45954</v>
      </c>
      <c r="D15" s="701">
        <v>15.05</v>
      </c>
      <c r="E15" s="701">
        <v>16.36</v>
      </c>
      <c r="F15" s="701">
        <v>14.96</v>
      </c>
      <c r="G15" s="701">
        <v>16.059999999999999</v>
      </c>
      <c r="H15" s="702">
        <v>21351971</v>
      </c>
      <c r="I15">
        <f t="shared" si="0"/>
        <v>1.1183844011142061</v>
      </c>
    </row>
    <row r="16" spans="3:9">
      <c r="C16" s="700">
        <v>45953</v>
      </c>
      <c r="D16" s="701">
        <v>15.2</v>
      </c>
      <c r="E16" s="701">
        <v>15.9</v>
      </c>
      <c r="F16" s="701">
        <v>14.32</v>
      </c>
      <c r="G16" s="701">
        <v>14.36</v>
      </c>
      <c r="H16" s="702">
        <v>16645330</v>
      </c>
      <c r="I16">
        <f t="shared" si="0"/>
        <v>1.1000000000000001</v>
      </c>
    </row>
    <row r="17" spans="3:9">
      <c r="C17" s="700">
        <v>45952</v>
      </c>
      <c r="D17" s="701">
        <v>15.6</v>
      </c>
      <c r="E17" s="701">
        <v>16.34</v>
      </c>
      <c r="F17" s="701">
        <v>14.19</v>
      </c>
      <c r="G17" s="701">
        <v>15.06</v>
      </c>
      <c r="H17" s="702">
        <v>27469650</v>
      </c>
      <c r="I17">
        <f t="shared" si="0"/>
        <v>1.1000000000000001</v>
      </c>
    </row>
    <row r="18" spans="3:9">
      <c r="C18" s="700">
        <v>45951</v>
      </c>
      <c r="D18" s="701">
        <v>17.03</v>
      </c>
      <c r="E18" s="701">
        <v>17.329999999999998</v>
      </c>
      <c r="F18" s="701">
        <v>15.64</v>
      </c>
      <c r="G18" s="701">
        <v>16.3</v>
      </c>
      <c r="H18" s="702">
        <v>50357398</v>
      </c>
      <c r="I18">
        <f t="shared" si="0"/>
        <v>1.1000000000000001</v>
      </c>
    </row>
    <row r="19" spans="3:9">
      <c r="C19" s="700">
        <v>45950</v>
      </c>
      <c r="D19" s="701">
        <v>16.2</v>
      </c>
      <c r="E19" s="701">
        <v>16.2</v>
      </c>
      <c r="F19" s="701">
        <v>14.59</v>
      </c>
      <c r="G19" s="701">
        <v>15.01</v>
      </c>
      <c r="H19" s="702">
        <v>14600190</v>
      </c>
      <c r="I19">
        <f t="shared" si="0"/>
        <v>1.1000000000000001</v>
      </c>
    </row>
    <row r="20" spans="3:9">
      <c r="C20" s="700">
        <v>45947</v>
      </c>
      <c r="D20" s="701">
        <v>15.14</v>
      </c>
      <c r="E20" s="701">
        <v>15.49</v>
      </c>
      <c r="F20" s="701">
        <v>14.5</v>
      </c>
      <c r="G20" s="701">
        <v>15.04</v>
      </c>
      <c r="H20" s="702">
        <v>20353600</v>
      </c>
      <c r="I20">
        <f t="shared" si="0"/>
        <v>1.1000000000000001</v>
      </c>
    </row>
    <row r="21" spans="3:9">
      <c r="C21" s="700">
        <v>45946</v>
      </c>
      <c r="D21" s="701">
        <v>18.100000000000001</v>
      </c>
      <c r="E21" s="701">
        <v>18.21</v>
      </c>
      <c r="F21" s="701">
        <v>15.34</v>
      </c>
      <c r="G21" s="701">
        <v>15.45</v>
      </c>
      <c r="H21" s="702">
        <v>31587689</v>
      </c>
      <c r="I21">
        <f t="shared" si="0"/>
        <v>1.1000000000000001</v>
      </c>
    </row>
    <row r="22" spans="3:9">
      <c r="C22" s="700">
        <v>45945</v>
      </c>
      <c r="D22" s="701">
        <v>18.28</v>
      </c>
      <c r="E22" s="701">
        <v>19.05</v>
      </c>
      <c r="F22" s="701">
        <v>16.940000000000001</v>
      </c>
      <c r="G22" s="701">
        <v>18.28</v>
      </c>
      <c r="H22" s="702">
        <v>32574689</v>
      </c>
      <c r="I22">
        <f t="shared" si="0"/>
        <v>1.1000000000000001</v>
      </c>
    </row>
    <row r="23" spans="3:9">
      <c r="C23" s="700">
        <v>45944</v>
      </c>
      <c r="D23" s="701">
        <v>16.61</v>
      </c>
      <c r="E23" s="701">
        <v>17.809999999999999</v>
      </c>
      <c r="F23" s="701">
        <v>16.100000000000001</v>
      </c>
      <c r="G23" s="701">
        <v>16.98</v>
      </c>
      <c r="H23" s="702">
        <v>34127262</v>
      </c>
      <c r="I23">
        <f t="shared" si="0"/>
        <v>1.1000000000000001</v>
      </c>
    </row>
    <row r="24" spans="3:9">
      <c r="C24" s="700">
        <v>45943</v>
      </c>
      <c r="D24" s="701">
        <v>15.1</v>
      </c>
      <c r="E24" s="701">
        <v>17.36</v>
      </c>
      <c r="F24" s="701">
        <v>14.94</v>
      </c>
      <c r="G24" s="701">
        <v>17.05</v>
      </c>
      <c r="H24" s="702">
        <v>41965992</v>
      </c>
      <c r="I24">
        <f t="shared" si="0"/>
        <v>1.2337192474674386</v>
      </c>
    </row>
    <row r="25" spans="3:9">
      <c r="C25" s="700">
        <v>45940</v>
      </c>
      <c r="D25" s="701">
        <v>14.69</v>
      </c>
      <c r="E25" s="701">
        <v>14.69</v>
      </c>
      <c r="F25" s="701">
        <v>13.54</v>
      </c>
      <c r="G25" s="701">
        <v>13.82</v>
      </c>
      <c r="H25" s="702">
        <v>22062680</v>
      </c>
      <c r="I25">
        <f t="shared" si="0"/>
        <v>1.1000000000000001</v>
      </c>
    </row>
    <row r="26" spans="3:9">
      <c r="C26" s="700">
        <v>45939</v>
      </c>
      <c r="D26" s="701">
        <v>15.05</v>
      </c>
      <c r="E26" s="701">
        <v>15.09</v>
      </c>
      <c r="F26" s="701">
        <v>14.38</v>
      </c>
      <c r="G26" s="701">
        <v>14.64</v>
      </c>
      <c r="H26" s="702">
        <v>17324490</v>
      </c>
      <c r="I26">
        <f t="shared" si="0"/>
        <v>1.1000000000000001</v>
      </c>
    </row>
    <row r="27" spans="3:9">
      <c r="C27" s="700">
        <v>45938</v>
      </c>
      <c r="D27" s="701">
        <v>13.55</v>
      </c>
      <c r="E27" s="701">
        <v>15.34</v>
      </c>
      <c r="F27" s="701">
        <v>13.31</v>
      </c>
      <c r="G27" s="701">
        <v>14.82</v>
      </c>
      <c r="H27" s="702">
        <v>27538260</v>
      </c>
      <c r="I27">
        <f t="shared" si="0"/>
        <v>1.1000000000000001</v>
      </c>
    </row>
    <row r="28" spans="3:9">
      <c r="C28" s="700">
        <v>45937</v>
      </c>
      <c r="D28" s="701">
        <v>14.2</v>
      </c>
      <c r="E28" s="701">
        <v>14.56</v>
      </c>
      <c r="F28" s="701">
        <v>13.57</v>
      </c>
      <c r="G28" s="701">
        <v>13.66</v>
      </c>
      <c r="H28" s="702">
        <v>19129070</v>
      </c>
      <c r="I28">
        <f t="shared" si="0"/>
        <v>1.1000000000000001</v>
      </c>
    </row>
    <row r="29" spans="3:9">
      <c r="C29" s="700">
        <v>45936</v>
      </c>
      <c r="D29" s="701">
        <v>14.44</v>
      </c>
      <c r="E29" s="701">
        <v>15.19</v>
      </c>
      <c r="F29" s="701">
        <v>13.55</v>
      </c>
      <c r="G29" s="701">
        <v>13.86</v>
      </c>
      <c r="H29" s="702">
        <v>35332609</v>
      </c>
      <c r="I29">
        <f t="shared" si="0"/>
        <v>1.1000000000000001</v>
      </c>
    </row>
    <row r="30" spans="3:9">
      <c r="C30" s="700">
        <v>45933</v>
      </c>
      <c r="D30" s="701">
        <v>12.47</v>
      </c>
      <c r="E30" s="701">
        <v>13.51</v>
      </c>
      <c r="F30" s="701">
        <v>12.29</v>
      </c>
      <c r="G30" s="701">
        <v>12.6</v>
      </c>
      <c r="H30" s="702">
        <v>24711381</v>
      </c>
      <c r="I30">
        <f t="shared" si="0"/>
        <v>1.1000000000000001</v>
      </c>
    </row>
    <row r="31" spans="3:9">
      <c r="C31" s="700">
        <v>45932</v>
      </c>
      <c r="D31" s="701">
        <v>12.96</v>
      </c>
      <c r="E31" s="701">
        <v>13.13</v>
      </c>
      <c r="F31" s="701">
        <v>12.18</v>
      </c>
      <c r="G31" s="701">
        <v>12.36</v>
      </c>
      <c r="H31" s="702">
        <v>27124580</v>
      </c>
      <c r="I31">
        <f t="shared" si="0"/>
        <v>1.1000000000000001</v>
      </c>
    </row>
    <row r="32" spans="3:9">
      <c r="C32" s="700">
        <v>45931</v>
      </c>
      <c r="D32" s="701">
        <v>11.37</v>
      </c>
      <c r="E32" s="701">
        <v>12.4</v>
      </c>
      <c r="F32" s="701">
        <v>11.12</v>
      </c>
      <c r="G32" s="701">
        <v>12.37</v>
      </c>
      <c r="H32" s="702">
        <v>20342170</v>
      </c>
      <c r="I32">
        <f t="shared" si="0"/>
        <v>1.1000000000000001</v>
      </c>
    </row>
    <row r="33" spans="3:9">
      <c r="C33" s="700">
        <v>45930</v>
      </c>
      <c r="D33" s="701">
        <v>11</v>
      </c>
      <c r="E33" s="701">
        <v>11.57</v>
      </c>
      <c r="F33" s="701">
        <v>10.8</v>
      </c>
      <c r="G33" s="701">
        <v>11.39</v>
      </c>
      <c r="H33" s="702">
        <v>14085310</v>
      </c>
      <c r="I33">
        <f t="shared" si="0"/>
        <v>1.1000000000000001</v>
      </c>
    </row>
    <row r="34" spans="3:9">
      <c r="C34" s="700">
        <v>45929</v>
      </c>
      <c r="D34" s="701">
        <v>10.43</v>
      </c>
      <c r="E34" s="701">
        <v>11.45</v>
      </c>
      <c r="F34" s="701">
        <v>10.23</v>
      </c>
      <c r="G34" s="701">
        <v>11.17</v>
      </c>
      <c r="H34" s="702">
        <v>23838381</v>
      </c>
      <c r="I34">
        <f t="shared" si="0"/>
        <v>1.1037549407114626</v>
      </c>
    </row>
    <row r="35" spans="3:9">
      <c r="C35" s="700">
        <v>45926</v>
      </c>
      <c r="D35" s="701">
        <v>10.5</v>
      </c>
      <c r="E35" s="701">
        <v>10.61</v>
      </c>
      <c r="F35" s="701">
        <v>9.83</v>
      </c>
      <c r="G35" s="701">
        <v>10.119999999999999</v>
      </c>
      <c r="H35" s="702">
        <v>12632110</v>
      </c>
      <c r="I35">
        <f t="shared" si="0"/>
        <v>1.1000000000000001</v>
      </c>
    </row>
    <row r="36" spans="3:9">
      <c r="C36" s="700">
        <v>45925</v>
      </c>
      <c r="D36" s="701">
        <v>10.119999999999999</v>
      </c>
      <c r="E36" s="701">
        <v>10.71</v>
      </c>
      <c r="F36" s="701">
        <v>9.77</v>
      </c>
      <c r="G36" s="701">
        <v>10.49</v>
      </c>
      <c r="H36" s="702">
        <v>22783359</v>
      </c>
      <c r="I36">
        <f t="shared" si="0"/>
        <v>1.1000000000000001</v>
      </c>
    </row>
    <row r="37" spans="3:9">
      <c r="C37" s="700">
        <v>45924</v>
      </c>
      <c r="D37" s="701">
        <v>10.27</v>
      </c>
      <c r="E37" s="701">
        <v>11.36</v>
      </c>
      <c r="F37" s="701">
        <v>10.210000000000001</v>
      </c>
      <c r="G37" s="701">
        <v>10.65</v>
      </c>
      <c r="H37" s="702">
        <v>32690820</v>
      </c>
      <c r="I37">
        <f t="shared" si="0"/>
        <v>1.1000000000000001</v>
      </c>
    </row>
    <row r="38" spans="3:9">
      <c r="C38" s="700">
        <v>45923</v>
      </c>
      <c r="D38" s="701">
        <v>10.3</v>
      </c>
      <c r="E38" s="701">
        <v>10.61</v>
      </c>
      <c r="F38" s="701">
        <v>9.93</v>
      </c>
      <c r="G38" s="701">
        <v>10.16</v>
      </c>
      <c r="H38" s="702">
        <v>21212881</v>
      </c>
      <c r="I38">
        <f t="shared" si="0"/>
        <v>1.1000000000000001</v>
      </c>
    </row>
    <row r="39" spans="3:9">
      <c r="C39" s="700">
        <v>45922</v>
      </c>
      <c r="D39" s="701">
        <v>10.46</v>
      </c>
      <c r="E39" s="701">
        <v>10.48</v>
      </c>
      <c r="F39" s="701">
        <v>9.85</v>
      </c>
      <c r="G39" s="701">
        <v>10.24</v>
      </c>
      <c r="H39" s="702">
        <v>30620740</v>
      </c>
      <c r="I39">
        <f t="shared" ref="I39:I70" si="1">MAX(G39/G40,1.1)</f>
        <v>1.1000000000000001</v>
      </c>
    </row>
    <row r="40" spans="3:9">
      <c r="C40" s="700">
        <v>45919</v>
      </c>
      <c r="D40" s="701">
        <v>9.23</v>
      </c>
      <c r="E40" s="701">
        <v>10.16</v>
      </c>
      <c r="F40" s="701">
        <v>9.17</v>
      </c>
      <c r="G40" s="701">
        <v>9.76</v>
      </c>
      <c r="H40" s="702">
        <v>36023520</v>
      </c>
      <c r="I40">
        <f t="shared" si="1"/>
        <v>1.1000000000000001</v>
      </c>
    </row>
    <row r="41" spans="3:9">
      <c r="C41" s="700">
        <v>45918</v>
      </c>
      <c r="D41" s="701">
        <v>8.7799999999999994</v>
      </c>
      <c r="E41" s="701">
        <v>9.25</v>
      </c>
      <c r="F41" s="701">
        <v>8.44</v>
      </c>
      <c r="G41" s="701">
        <v>9</v>
      </c>
      <c r="H41" s="702">
        <v>21845670</v>
      </c>
      <c r="I41">
        <f t="shared" si="1"/>
        <v>1.1000000000000001</v>
      </c>
    </row>
    <row r="42" spans="3:9">
      <c r="C42" s="700">
        <v>45917</v>
      </c>
      <c r="D42" s="701">
        <v>8.27</v>
      </c>
      <c r="E42" s="701">
        <v>8.74</v>
      </c>
      <c r="F42" s="701">
        <v>8.1199999999999992</v>
      </c>
      <c r="G42" s="701">
        <v>8.5</v>
      </c>
      <c r="H42" s="702">
        <v>14132620</v>
      </c>
      <c r="I42">
        <f t="shared" si="1"/>
        <v>1.1000000000000001</v>
      </c>
    </row>
    <row r="43" spans="3:9">
      <c r="C43" s="700">
        <v>45916</v>
      </c>
      <c r="D43" s="701">
        <v>8.33</v>
      </c>
      <c r="E43" s="701">
        <v>8.41</v>
      </c>
      <c r="F43" s="701">
        <v>7.93</v>
      </c>
      <c r="G43" s="701">
        <v>8.2899999999999991</v>
      </c>
      <c r="H43" s="702">
        <v>11235550</v>
      </c>
      <c r="I43">
        <f t="shared" si="1"/>
        <v>1.1000000000000001</v>
      </c>
    </row>
    <row r="44" spans="3:9">
      <c r="C44" s="700">
        <v>45915</v>
      </c>
      <c r="D44" s="701">
        <v>8.44</v>
      </c>
      <c r="E44" s="701">
        <v>8.5500000000000007</v>
      </c>
      <c r="F44" s="701">
        <v>8.2100000000000009</v>
      </c>
      <c r="G44" s="701">
        <v>8.2799999999999994</v>
      </c>
      <c r="H44" s="702">
        <v>15747190</v>
      </c>
      <c r="I44">
        <f t="shared" si="1"/>
        <v>1.1000000000000001</v>
      </c>
    </row>
    <row r="45" spans="3:9">
      <c r="C45" s="700">
        <v>45912</v>
      </c>
      <c r="D45" s="701">
        <v>7.24</v>
      </c>
      <c r="E45" s="701">
        <v>8.24</v>
      </c>
      <c r="F45" s="701">
        <v>7.17</v>
      </c>
      <c r="G45" s="701">
        <v>8.1999999999999993</v>
      </c>
      <c r="H45" s="702">
        <v>19132770</v>
      </c>
      <c r="I45">
        <f t="shared" si="1"/>
        <v>1.1357340720221607</v>
      </c>
    </row>
    <row r="46" spans="3:9">
      <c r="C46" s="700">
        <v>45911</v>
      </c>
      <c r="D46" s="701">
        <v>6.81</v>
      </c>
      <c r="E46" s="701">
        <v>7.28</v>
      </c>
      <c r="F46" s="701">
        <v>6.72</v>
      </c>
      <c r="G46" s="701">
        <v>7.22</v>
      </c>
      <c r="H46" s="702">
        <v>8507447</v>
      </c>
      <c r="I46">
        <f t="shared" si="1"/>
        <v>1.1000000000000001</v>
      </c>
    </row>
    <row r="47" spans="3:9">
      <c r="C47" s="700">
        <v>45910</v>
      </c>
      <c r="D47" s="701">
        <v>7.05</v>
      </c>
      <c r="E47" s="701">
        <v>7.37</v>
      </c>
      <c r="F47" s="701">
        <v>6.8</v>
      </c>
      <c r="G47" s="701">
        <v>6.87</v>
      </c>
      <c r="H47" s="702">
        <v>12893950</v>
      </c>
      <c r="I47">
        <f t="shared" si="1"/>
        <v>1.1000000000000001</v>
      </c>
    </row>
    <row r="48" spans="3:9">
      <c r="C48" s="700">
        <v>45909</v>
      </c>
      <c r="D48" s="701">
        <v>6.93</v>
      </c>
      <c r="E48" s="701">
        <v>7.05</v>
      </c>
      <c r="F48" s="701">
        <v>6.66</v>
      </c>
      <c r="G48" s="701">
        <v>6.98</v>
      </c>
      <c r="H48" s="702">
        <v>9915863</v>
      </c>
      <c r="I48">
        <f t="shared" si="1"/>
        <v>1.1000000000000001</v>
      </c>
    </row>
    <row r="49" spans="3:9">
      <c r="C49" s="700">
        <v>45908</v>
      </c>
      <c r="D49" s="701">
        <v>7.2</v>
      </c>
      <c r="E49" s="701">
        <v>7.47</v>
      </c>
      <c r="F49" s="701">
        <v>6.81</v>
      </c>
      <c r="G49" s="701">
        <v>6.87</v>
      </c>
      <c r="H49" s="702">
        <v>14809260</v>
      </c>
      <c r="I49">
        <f t="shared" si="1"/>
        <v>1.1000000000000001</v>
      </c>
    </row>
    <row r="50" spans="3:9">
      <c r="C50" s="700">
        <v>45905</v>
      </c>
      <c r="D50" s="701">
        <v>7.54</v>
      </c>
      <c r="E50" s="701">
        <v>7.62</v>
      </c>
      <c r="F50" s="701">
        <v>7</v>
      </c>
      <c r="G50" s="701">
        <v>7.21</v>
      </c>
      <c r="H50" s="702">
        <v>12937390</v>
      </c>
      <c r="I50">
        <f t="shared" si="1"/>
        <v>1.1000000000000001</v>
      </c>
    </row>
    <row r="51" spans="3:9">
      <c r="C51" s="700">
        <v>45904</v>
      </c>
      <c r="D51" s="701">
        <v>7.62</v>
      </c>
      <c r="E51" s="701">
        <v>7.67</v>
      </c>
      <c r="F51" s="701">
        <v>7.04</v>
      </c>
      <c r="G51" s="701">
        <v>7.34</v>
      </c>
      <c r="H51" s="702">
        <v>12364810</v>
      </c>
      <c r="I51">
        <f t="shared" si="1"/>
        <v>1.1000000000000001</v>
      </c>
    </row>
    <row r="52" spans="3:9">
      <c r="C52" s="700">
        <v>45903</v>
      </c>
      <c r="D52" s="701">
        <v>7.67</v>
      </c>
      <c r="E52" s="701">
        <v>8.09</v>
      </c>
      <c r="F52" s="701">
        <v>7.55</v>
      </c>
      <c r="G52" s="701">
        <v>7.62</v>
      </c>
      <c r="H52" s="702">
        <v>16714551</v>
      </c>
      <c r="I52">
        <f t="shared" si="1"/>
        <v>1.1000000000000001</v>
      </c>
    </row>
    <row r="53" spans="3:9">
      <c r="C53" s="700">
        <v>45902</v>
      </c>
      <c r="D53" s="701">
        <v>6.71</v>
      </c>
      <c r="E53" s="701">
        <v>7.6</v>
      </c>
      <c r="F53" s="701">
        <v>6.51</v>
      </c>
      <c r="G53" s="701">
        <v>7.51</v>
      </c>
      <c r="H53" s="702">
        <v>19824529</v>
      </c>
      <c r="I53">
        <f t="shared" si="1"/>
        <v>1.1000000000000001</v>
      </c>
    </row>
    <row r="54" spans="3:9">
      <c r="C54" s="700">
        <v>45898</v>
      </c>
      <c r="D54" s="701">
        <v>7.13</v>
      </c>
      <c r="E54" s="701">
        <v>7.21</v>
      </c>
      <c r="F54" s="701">
        <v>6.76</v>
      </c>
      <c r="G54" s="701">
        <v>6.9</v>
      </c>
      <c r="H54" s="702">
        <v>8689457</v>
      </c>
      <c r="I54">
        <f t="shared" si="1"/>
        <v>1.1000000000000001</v>
      </c>
    </row>
    <row r="55" spans="3:9">
      <c r="C55" s="700">
        <v>45897</v>
      </c>
      <c r="D55" s="701">
        <v>7.27</v>
      </c>
      <c r="E55" s="701">
        <v>7.34</v>
      </c>
      <c r="F55" s="701">
        <v>6.87</v>
      </c>
      <c r="G55" s="701">
        <v>7.13</v>
      </c>
      <c r="H55" s="702">
        <v>11205600</v>
      </c>
      <c r="I55">
        <f t="shared" si="1"/>
        <v>1.1000000000000001</v>
      </c>
    </row>
    <row r="56" spans="3:9">
      <c r="C56" s="700">
        <v>45896</v>
      </c>
      <c r="D56" s="701">
        <v>6.95</v>
      </c>
      <c r="E56" s="701">
        <v>7.14</v>
      </c>
      <c r="F56" s="701">
        <v>6.8</v>
      </c>
      <c r="G56" s="701">
        <v>7.12</v>
      </c>
      <c r="H56" s="702">
        <v>11215690</v>
      </c>
      <c r="I56">
        <f t="shared" si="1"/>
        <v>1.1000000000000001</v>
      </c>
    </row>
    <row r="57" spans="3:9">
      <c r="C57" s="700">
        <v>45895</v>
      </c>
      <c r="D57" s="701">
        <v>6.35</v>
      </c>
      <c r="E57" s="701">
        <v>6.94</v>
      </c>
      <c r="F57" s="701">
        <v>6.31</v>
      </c>
      <c r="G57" s="701">
        <v>6.92</v>
      </c>
      <c r="H57" s="702">
        <v>15722180</v>
      </c>
      <c r="I57">
        <f t="shared" si="1"/>
        <v>1.1036682615629985</v>
      </c>
    </row>
    <row r="58" spans="3:9">
      <c r="C58" s="700">
        <v>45894</v>
      </c>
      <c r="D58" s="701">
        <v>6.32</v>
      </c>
      <c r="E58" s="701">
        <v>6.38</v>
      </c>
      <c r="F58" s="701">
        <v>6.15</v>
      </c>
      <c r="G58" s="701">
        <v>6.27</v>
      </c>
      <c r="H58" s="702">
        <v>5349831</v>
      </c>
      <c r="I58">
        <f t="shared" si="1"/>
        <v>1.1000000000000001</v>
      </c>
    </row>
    <row r="59" spans="3:9">
      <c r="C59" s="700">
        <v>45891</v>
      </c>
      <c r="D59" s="701">
        <v>6.03</v>
      </c>
      <c r="E59" s="701">
        <v>6.38</v>
      </c>
      <c r="F59" s="701">
        <v>5.96</v>
      </c>
      <c r="G59" s="701">
        <v>6.32</v>
      </c>
      <c r="H59" s="702">
        <v>8341785</v>
      </c>
      <c r="I59">
        <f t="shared" si="1"/>
        <v>1.1000000000000001</v>
      </c>
    </row>
    <row r="60" spans="3:9">
      <c r="C60" s="700">
        <v>45890</v>
      </c>
      <c r="D60" s="701">
        <v>5.94</v>
      </c>
      <c r="E60" s="701">
        <v>6.03</v>
      </c>
      <c r="F60" s="701">
        <v>5.84</v>
      </c>
      <c r="G60" s="701">
        <v>6.02</v>
      </c>
      <c r="H60" s="702">
        <v>4582861</v>
      </c>
      <c r="I60">
        <f t="shared" si="1"/>
        <v>1.1000000000000001</v>
      </c>
    </row>
    <row r="61" spans="3:9">
      <c r="C61" s="700">
        <v>45889</v>
      </c>
      <c r="D61" s="701">
        <v>5.91</v>
      </c>
      <c r="E61" s="701">
        <v>6.01</v>
      </c>
      <c r="F61" s="701">
        <v>5.77</v>
      </c>
      <c r="G61" s="701">
        <v>5.99</v>
      </c>
      <c r="H61" s="702">
        <v>7629911</v>
      </c>
      <c r="I61">
        <f t="shared" si="1"/>
        <v>1.1000000000000001</v>
      </c>
    </row>
    <row r="62" spans="3:9">
      <c r="C62" s="700">
        <v>45888</v>
      </c>
      <c r="D62" s="701">
        <v>6.25</v>
      </c>
      <c r="E62" s="701">
        <v>6.27</v>
      </c>
      <c r="F62" s="701">
        <v>5.95</v>
      </c>
      <c r="G62" s="701">
        <v>6.05</v>
      </c>
      <c r="H62" s="702">
        <v>7951256</v>
      </c>
      <c r="I62">
        <f t="shared" si="1"/>
        <v>1.1000000000000001</v>
      </c>
    </row>
    <row r="63" spans="3:9">
      <c r="C63" s="700">
        <v>45887</v>
      </c>
      <c r="D63" s="701">
        <v>5.96</v>
      </c>
      <c r="E63" s="701">
        <v>6.4</v>
      </c>
      <c r="F63" s="701">
        <v>5.93</v>
      </c>
      <c r="G63" s="701">
        <v>6.33</v>
      </c>
      <c r="H63" s="702">
        <v>13499810</v>
      </c>
      <c r="I63">
        <f t="shared" si="1"/>
        <v>1.1000000000000001</v>
      </c>
    </row>
    <row r="64" spans="3:9">
      <c r="C64" s="700">
        <v>45884</v>
      </c>
      <c r="D64" s="701">
        <v>6.35</v>
      </c>
      <c r="E64" s="701">
        <v>6.35</v>
      </c>
      <c r="F64" s="701">
        <v>5.83</v>
      </c>
      <c r="G64" s="701">
        <v>5.86</v>
      </c>
      <c r="H64" s="702">
        <v>15502050</v>
      </c>
      <c r="I64">
        <f t="shared" si="1"/>
        <v>1.1000000000000001</v>
      </c>
    </row>
    <row r="65" spans="3:9">
      <c r="C65" s="700">
        <v>45883</v>
      </c>
      <c r="D65" s="701">
        <v>6.12</v>
      </c>
      <c r="E65" s="701">
        <v>6.61</v>
      </c>
      <c r="F65" s="701">
        <v>6.1</v>
      </c>
      <c r="G65" s="701">
        <v>6.33</v>
      </c>
      <c r="H65" s="702">
        <v>9905087</v>
      </c>
      <c r="I65">
        <f t="shared" si="1"/>
        <v>1.1000000000000001</v>
      </c>
    </row>
    <row r="66" spans="3:9">
      <c r="C66" s="700">
        <v>45882</v>
      </c>
      <c r="D66" s="701">
        <v>6.14</v>
      </c>
      <c r="E66" s="701">
        <v>6.35</v>
      </c>
      <c r="F66" s="701">
        <v>5.84</v>
      </c>
      <c r="G66" s="701">
        <v>6.34</v>
      </c>
      <c r="H66" s="702">
        <v>15201520</v>
      </c>
      <c r="I66">
        <f t="shared" si="1"/>
        <v>1.1000000000000001</v>
      </c>
    </row>
    <row r="67" spans="3:9">
      <c r="C67" s="700">
        <v>45881</v>
      </c>
      <c r="D67" s="701">
        <v>6.21</v>
      </c>
      <c r="E67" s="701">
        <v>6.26</v>
      </c>
      <c r="F67" s="701">
        <v>6</v>
      </c>
      <c r="G67" s="701">
        <v>6.11</v>
      </c>
      <c r="H67" s="702">
        <v>11764870</v>
      </c>
      <c r="I67">
        <f t="shared" si="1"/>
        <v>1.1000000000000001</v>
      </c>
    </row>
    <row r="68" spans="3:9">
      <c r="C68" s="700">
        <v>45880</v>
      </c>
      <c r="D68" s="701">
        <v>6.37</v>
      </c>
      <c r="E68" s="701">
        <v>6.54</v>
      </c>
      <c r="F68" s="701">
        <v>6.29</v>
      </c>
      <c r="G68" s="701">
        <v>6.35</v>
      </c>
      <c r="H68" s="702">
        <v>8545259</v>
      </c>
      <c r="I68">
        <f t="shared" si="1"/>
        <v>1.1000000000000001</v>
      </c>
    </row>
    <row r="69" spans="3:9">
      <c r="C69" s="700">
        <v>45877</v>
      </c>
      <c r="D69" s="701">
        <v>6.6</v>
      </c>
      <c r="E69" s="701">
        <v>6.69</v>
      </c>
      <c r="F69" s="701">
        <v>6.2</v>
      </c>
      <c r="G69" s="701">
        <v>6.37</v>
      </c>
      <c r="H69" s="702">
        <v>11401570</v>
      </c>
      <c r="I69">
        <f t="shared" si="1"/>
        <v>1.1000000000000001</v>
      </c>
    </row>
    <row r="70" spans="3:9">
      <c r="C70" s="700">
        <v>45876</v>
      </c>
      <c r="D70" s="701">
        <v>6.57</v>
      </c>
      <c r="E70" s="701">
        <v>6.91</v>
      </c>
      <c r="F70" s="701">
        <v>6.51</v>
      </c>
      <c r="G70" s="701">
        <v>6.56</v>
      </c>
      <c r="H70" s="702">
        <v>15975140</v>
      </c>
      <c r="I70">
        <f t="shared" si="1"/>
        <v>1.1000000000000001</v>
      </c>
    </row>
    <row r="71" spans="3:9">
      <c r="C71" s="700">
        <v>45875</v>
      </c>
      <c r="D71" s="701">
        <v>6.51</v>
      </c>
      <c r="E71" s="701">
        <v>6.76</v>
      </c>
      <c r="F71" s="701">
        <v>6.3</v>
      </c>
      <c r="G71" s="701">
        <v>6.46</v>
      </c>
      <c r="H71" s="702">
        <v>13892150</v>
      </c>
      <c r="I71">
        <f t="shared" ref="I71:I99" si="2">MAX(G71/G72,1.1)</f>
        <v>1.1000000000000001</v>
      </c>
    </row>
    <row r="72" spans="3:9">
      <c r="C72" s="700">
        <v>45874</v>
      </c>
      <c r="D72" s="701">
        <v>6.21</v>
      </c>
      <c r="E72" s="701">
        <v>6.54</v>
      </c>
      <c r="F72" s="701">
        <v>6.06</v>
      </c>
      <c r="G72" s="701">
        <v>6.51</v>
      </c>
      <c r="H72" s="702">
        <v>16632490</v>
      </c>
      <c r="I72">
        <f t="shared" si="2"/>
        <v>1.1000000000000001</v>
      </c>
    </row>
    <row r="73" spans="3:9">
      <c r="C73" s="700">
        <v>45873</v>
      </c>
      <c r="D73" s="701">
        <v>5.67</v>
      </c>
      <c r="E73" s="701">
        <v>6.35</v>
      </c>
      <c r="F73" s="701">
        <v>5.65</v>
      </c>
      <c r="G73" s="701">
        <v>6.21</v>
      </c>
      <c r="H73" s="702">
        <v>15657690</v>
      </c>
      <c r="I73">
        <f t="shared" si="2"/>
        <v>1.1270417422867514</v>
      </c>
    </row>
    <row r="74" spans="3:9">
      <c r="C74" s="700">
        <v>45870</v>
      </c>
      <c r="D74" s="701">
        <v>5.47</v>
      </c>
      <c r="E74" s="701">
        <v>5.64</v>
      </c>
      <c r="F74" s="701">
        <v>5.27</v>
      </c>
      <c r="G74" s="701">
        <v>5.51</v>
      </c>
      <c r="H74" s="702">
        <v>13993290</v>
      </c>
      <c r="I74">
        <f t="shared" si="2"/>
        <v>1.1000000000000001</v>
      </c>
    </row>
    <row r="75" spans="3:9">
      <c r="C75" s="700">
        <v>45869</v>
      </c>
      <c r="D75" s="701">
        <v>5.47</v>
      </c>
      <c r="E75" s="701">
        <v>6.55</v>
      </c>
      <c r="F75" s="701">
        <v>5.41</v>
      </c>
      <c r="G75" s="701">
        <v>5.7</v>
      </c>
      <c r="H75" s="702">
        <v>24980301</v>
      </c>
      <c r="I75">
        <f t="shared" si="2"/>
        <v>1.1000000000000001</v>
      </c>
    </row>
    <row r="76" spans="3:9">
      <c r="C76" s="700">
        <v>45868</v>
      </c>
      <c r="D76" s="701">
        <v>5.93</v>
      </c>
      <c r="E76" s="701">
        <v>6.3</v>
      </c>
      <c r="F76" s="701">
        <v>5.91</v>
      </c>
      <c r="G76" s="701">
        <v>5.92</v>
      </c>
      <c r="H76" s="702">
        <v>15768160</v>
      </c>
      <c r="I76">
        <f t="shared" si="2"/>
        <v>1.1000000000000001</v>
      </c>
    </row>
    <row r="77" spans="3:9">
      <c r="C77" s="700">
        <v>45867</v>
      </c>
      <c r="D77" s="701">
        <v>6.29</v>
      </c>
      <c r="E77" s="701">
        <v>6.31</v>
      </c>
      <c r="F77" s="701">
        <v>5.79</v>
      </c>
      <c r="G77" s="701">
        <v>5.96</v>
      </c>
      <c r="H77" s="702">
        <v>10232480</v>
      </c>
      <c r="I77">
        <f t="shared" si="2"/>
        <v>1.1000000000000001</v>
      </c>
    </row>
    <row r="78" spans="3:9">
      <c r="C78" s="700">
        <v>45866</v>
      </c>
      <c r="D78" s="701">
        <v>6.45</v>
      </c>
      <c r="E78" s="701">
        <v>6.54</v>
      </c>
      <c r="F78" s="701">
        <v>6.05</v>
      </c>
      <c r="G78" s="701">
        <v>6.18</v>
      </c>
      <c r="H78" s="702">
        <v>10380040</v>
      </c>
      <c r="I78">
        <f t="shared" si="2"/>
        <v>1.1000000000000001</v>
      </c>
    </row>
    <row r="79" spans="3:9">
      <c r="C79" s="700">
        <v>45863</v>
      </c>
      <c r="D79" s="701">
        <v>6.26</v>
      </c>
      <c r="E79" s="701">
        <v>6.66</v>
      </c>
      <c r="F79" s="701">
        <v>6.18</v>
      </c>
      <c r="G79" s="701">
        <v>6.37</v>
      </c>
      <c r="H79" s="702">
        <v>11904860</v>
      </c>
      <c r="I79">
        <f t="shared" si="2"/>
        <v>1.1000000000000001</v>
      </c>
    </row>
    <row r="80" spans="3:9">
      <c r="C80" s="700">
        <v>45862</v>
      </c>
      <c r="D80" s="701">
        <v>6.23</v>
      </c>
      <c r="E80" s="701">
        <v>6.52</v>
      </c>
      <c r="F80" s="701">
        <v>6.12</v>
      </c>
      <c r="G80" s="701">
        <v>6.36</v>
      </c>
      <c r="H80" s="702">
        <v>13469570</v>
      </c>
      <c r="I80">
        <f t="shared" si="2"/>
        <v>1.1000000000000001</v>
      </c>
    </row>
    <row r="81" spans="3:9">
      <c r="C81" s="700">
        <v>45861</v>
      </c>
      <c r="D81" s="701">
        <v>6.25</v>
      </c>
      <c r="E81" s="701">
        <v>6.45</v>
      </c>
      <c r="F81" s="701">
        <v>5.91</v>
      </c>
      <c r="G81" s="701">
        <v>6.24</v>
      </c>
      <c r="H81" s="702">
        <v>16759939</v>
      </c>
      <c r="I81">
        <f t="shared" si="2"/>
        <v>1.1000000000000001</v>
      </c>
    </row>
    <row r="82" spans="3:9">
      <c r="C82" s="700">
        <v>45860</v>
      </c>
      <c r="D82" s="701">
        <v>5.95</v>
      </c>
      <c r="E82" s="701">
        <v>6.12</v>
      </c>
      <c r="F82" s="701">
        <v>5.66</v>
      </c>
      <c r="G82" s="701">
        <v>6.03</v>
      </c>
      <c r="H82" s="702">
        <v>14708450</v>
      </c>
      <c r="I82">
        <f t="shared" si="2"/>
        <v>1.1000000000000001</v>
      </c>
    </row>
    <row r="83" spans="3:9">
      <c r="C83" s="700">
        <v>45859</v>
      </c>
      <c r="D83" s="701">
        <v>6.11</v>
      </c>
      <c r="E83" s="701">
        <v>6.23</v>
      </c>
      <c r="F83" s="701">
        <v>5.85</v>
      </c>
      <c r="G83" s="701">
        <v>6</v>
      </c>
      <c r="H83" s="702">
        <v>24322510</v>
      </c>
      <c r="I83">
        <f t="shared" si="2"/>
        <v>1.1000000000000001</v>
      </c>
    </row>
    <row r="84" spans="3:9">
      <c r="C84" s="700">
        <v>45856</v>
      </c>
      <c r="D84" s="701">
        <v>5.95</v>
      </c>
      <c r="E84" s="701">
        <v>6.5</v>
      </c>
      <c r="F84" s="701">
        <v>5.76</v>
      </c>
      <c r="G84" s="701">
        <v>5.87</v>
      </c>
      <c r="H84" s="702">
        <v>42044199</v>
      </c>
      <c r="I84">
        <f t="shared" si="2"/>
        <v>1.1075471698113208</v>
      </c>
    </row>
    <row r="85" spans="3:9">
      <c r="C85" s="700">
        <v>45855</v>
      </c>
      <c r="D85" s="701">
        <v>5.0999999999999996</v>
      </c>
      <c r="E85" s="701">
        <v>5.35</v>
      </c>
      <c r="F85" s="701">
        <v>4.9000000000000004</v>
      </c>
      <c r="G85" s="701">
        <v>5.3</v>
      </c>
      <c r="H85" s="702">
        <v>17475039</v>
      </c>
      <c r="I85">
        <f t="shared" si="2"/>
        <v>1.1000000000000001</v>
      </c>
    </row>
    <row r="86" spans="3:9">
      <c r="C86" s="700">
        <v>45854</v>
      </c>
      <c r="D86" s="701">
        <v>5.28</v>
      </c>
      <c r="E86" s="701">
        <v>5.39</v>
      </c>
      <c r="F86" s="701">
        <v>4.82</v>
      </c>
      <c r="G86" s="701">
        <v>5.07</v>
      </c>
      <c r="H86" s="702">
        <v>11825670</v>
      </c>
      <c r="I86">
        <f t="shared" si="2"/>
        <v>1.1000000000000001</v>
      </c>
    </row>
    <row r="87" spans="3:9">
      <c r="C87" s="700">
        <v>45853</v>
      </c>
      <c r="D87" s="701">
        <v>5.44</v>
      </c>
      <c r="E87" s="701">
        <v>5.48</v>
      </c>
      <c r="F87" s="701">
        <v>5.08</v>
      </c>
      <c r="G87" s="701">
        <v>5.17</v>
      </c>
      <c r="H87" s="702">
        <v>16080780</v>
      </c>
      <c r="I87">
        <f t="shared" si="2"/>
        <v>1.1000000000000001</v>
      </c>
    </row>
    <row r="88" spans="3:9">
      <c r="C88" s="700">
        <v>45852</v>
      </c>
      <c r="D88" s="701">
        <v>4.6500000000000004</v>
      </c>
      <c r="E88" s="701">
        <v>5.38</v>
      </c>
      <c r="F88" s="701">
        <v>4.59</v>
      </c>
      <c r="G88" s="701">
        <v>5.37</v>
      </c>
      <c r="H88" s="702">
        <v>16646480</v>
      </c>
      <c r="I88">
        <f t="shared" si="2"/>
        <v>1.1598272138228942</v>
      </c>
    </row>
    <row r="89" spans="3:9">
      <c r="C89" s="700">
        <v>45849</v>
      </c>
      <c r="D89" s="701">
        <v>4.5999999999999996</v>
      </c>
      <c r="E89" s="701">
        <v>4.6399999999999997</v>
      </c>
      <c r="F89" s="701">
        <v>4.45</v>
      </c>
      <c r="G89" s="701">
        <v>4.63</v>
      </c>
      <c r="H89" s="702">
        <v>7954940</v>
      </c>
      <c r="I89">
        <f t="shared" si="2"/>
        <v>1.1000000000000001</v>
      </c>
    </row>
    <row r="90" spans="3:9">
      <c r="C90" s="700">
        <v>45848</v>
      </c>
      <c r="D90" s="701">
        <v>4.62</v>
      </c>
      <c r="E90" s="701">
        <v>4.67</v>
      </c>
      <c r="F90" s="701">
        <v>4.5199999999999996</v>
      </c>
      <c r="G90" s="701">
        <v>4.6500000000000004</v>
      </c>
      <c r="H90" s="702">
        <v>7960733</v>
      </c>
      <c r="I90">
        <f t="shared" si="2"/>
        <v>1.1000000000000001</v>
      </c>
    </row>
    <row r="91" spans="3:9">
      <c r="C91" s="700">
        <v>45847</v>
      </c>
      <c r="D91" s="701">
        <v>4.84</v>
      </c>
      <c r="E91" s="701">
        <v>4.8600000000000003</v>
      </c>
      <c r="F91" s="701">
        <v>4.5599999999999996</v>
      </c>
      <c r="G91" s="701">
        <v>4.66</v>
      </c>
      <c r="H91" s="702">
        <v>10250710</v>
      </c>
      <c r="I91">
        <f t="shared" si="2"/>
        <v>1.1000000000000001</v>
      </c>
    </row>
    <row r="92" spans="3:9">
      <c r="C92" s="700">
        <v>45846</v>
      </c>
      <c r="D92" s="701">
        <v>5.15</v>
      </c>
      <c r="E92" s="701">
        <v>5.19</v>
      </c>
      <c r="F92" s="701">
        <v>4.7699999999999996</v>
      </c>
      <c r="G92" s="701">
        <v>4.79</v>
      </c>
      <c r="H92" s="702">
        <v>15759570</v>
      </c>
      <c r="I92">
        <f t="shared" si="2"/>
        <v>1.1000000000000001</v>
      </c>
    </row>
    <row r="93" spans="3:9">
      <c r="C93" s="700">
        <v>45845</v>
      </c>
      <c r="D93" s="701">
        <v>5.21</v>
      </c>
      <c r="E93" s="701">
        <v>5.48</v>
      </c>
      <c r="F93" s="701">
        <v>5.08</v>
      </c>
      <c r="G93" s="701">
        <v>5.15</v>
      </c>
      <c r="H93" s="702">
        <v>15159240</v>
      </c>
      <c r="I93">
        <f t="shared" si="2"/>
        <v>1.1000000000000001</v>
      </c>
    </row>
    <row r="94" spans="3:9">
      <c r="C94" s="700">
        <v>45841</v>
      </c>
      <c r="D94" s="701">
        <v>4.96</v>
      </c>
      <c r="E94" s="701">
        <v>5.1100000000000003</v>
      </c>
      <c r="F94" s="701">
        <v>4.93</v>
      </c>
      <c r="G94" s="701">
        <v>5.08</v>
      </c>
      <c r="H94" s="702">
        <v>5747513</v>
      </c>
      <c r="I94">
        <f t="shared" si="2"/>
        <v>1.1000000000000001</v>
      </c>
    </row>
    <row r="95" spans="3:9">
      <c r="C95" s="700">
        <v>45840</v>
      </c>
      <c r="D95" s="701">
        <v>5.23</v>
      </c>
      <c r="E95" s="701">
        <v>5.28</v>
      </c>
      <c r="F95" s="701">
        <v>4.8600000000000003</v>
      </c>
      <c r="G95" s="701">
        <v>4.9000000000000004</v>
      </c>
      <c r="H95" s="702">
        <v>14822300</v>
      </c>
      <c r="I95">
        <f t="shared" si="2"/>
        <v>1.1000000000000001</v>
      </c>
    </row>
    <row r="96" spans="3:9">
      <c r="C96" s="700">
        <v>45839</v>
      </c>
      <c r="D96" s="701">
        <v>5.03</v>
      </c>
      <c r="E96" s="701">
        <v>5.05</v>
      </c>
      <c r="F96" s="701">
        <v>4.71</v>
      </c>
      <c r="G96" s="701">
        <v>4.87</v>
      </c>
      <c r="H96" s="702">
        <v>13262550</v>
      </c>
      <c r="I96">
        <f t="shared" si="2"/>
        <v>1.1000000000000001</v>
      </c>
    </row>
    <row r="97" spans="3:9">
      <c r="C97" s="700">
        <v>45838</v>
      </c>
      <c r="D97" s="701">
        <v>4.51</v>
      </c>
      <c r="E97" s="701">
        <v>5.23</v>
      </c>
      <c r="F97" s="701">
        <v>4.5</v>
      </c>
      <c r="G97" s="701">
        <v>5.12</v>
      </c>
      <c r="H97" s="702">
        <v>18495801</v>
      </c>
      <c r="I97">
        <f t="shared" si="2"/>
        <v>1.1609977324263039</v>
      </c>
    </row>
    <row r="98" spans="3:9">
      <c r="C98" s="700">
        <v>45835</v>
      </c>
      <c r="D98" s="701">
        <v>4.59</v>
      </c>
      <c r="E98" s="701">
        <v>4.5999999999999996</v>
      </c>
      <c r="F98" s="701">
        <v>4.28</v>
      </c>
      <c r="G98" s="701">
        <v>4.41</v>
      </c>
      <c r="H98" s="702">
        <v>44729633</v>
      </c>
      <c r="I98">
        <f t="shared" si="2"/>
        <v>1.1000000000000001</v>
      </c>
    </row>
    <row r="99" spans="3:9">
      <c r="C99" s="700">
        <v>45834</v>
      </c>
      <c r="D99" s="701">
        <v>4.25</v>
      </c>
      <c r="E99" s="701">
        <v>4.59</v>
      </c>
      <c r="F99" s="701">
        <v>4.22</v>
      </c>
      <c r="G99" s="701">
        <v>4.54</v>
      </c>
      <c r="H99" s="702">
        <v>9260714</v>
      </c>
      <c r="I99">
        <f t="shared" si="2"/>
        <v>1.1000000000000001</v>
      </c>
    </row>
    <row r="100" spans="3:9">
      <c r="C100" s="700">
        <v>45833</v>
      </c>
      <c r="D100" s="701">
        <v>4.42</v>
      </c>
      <c r="E100" s="701">
        <v>4.4400000000000004</v>
      </c>
      <c r="F100" s="701">
        <v>4.2</v>
      </c>
      <c r="G100" s="701">
        <v>4.21</v>
      </c>
      <c r="H100" s="702">
        <v>7293183</v>
      </c>
    </row>
    <row r="101" spans="3:9">
      <c r="C101" s="700">
        <v>45832</v>
      </c>
      <c r="D101" s="701">
        <v>4.24</v>
      </c>
      <c r="E101" s="701">
        <v>4.43</v>
      </c>
      <c r="F101" s="701">
        <v>4.21</v>
      </c>
      <c r="G101" s="701">
        <v>4.37</v>
      </c>
      <c r="H101" s="702">
        <v>8160380</v>
      </c>
    </row>
    <row r="102" spans="3:9">
      <c r="C102" s="700">
        <v>45831</v>
      </c>
      <c r="D102" s="701">
        <v>4.3899999999999997</v>
      </c>
      <c r="E102" s="701">
        <v>4.57</v>
      </c>
      <c r="F102" s="701">
        <v>4.18</v>
      </c>
      <c r="G102" s="701">
        <v>4.1900000000000004</v>
      </c>
      <c r="H102" s="702">
        <v>13319640</v>
      </c>
    </row>
    <row r="103" spans="3:9">
      <c r="C103" s="700">
        <v>45828</v>
      </c>
      <c r="D103" s="701">
        <v>4.79</v>
      </c>
      <c r="E103" s="701">
        <v>4.87</v>
      </c>
      <c r="F103" s="701">
        <v>4.4800000000000004</v>
      </c>
      <c r="G103" s="701">
        <v>4.49</v>
      </c>
      <c r="H103" s="702">
        <v>13016780</v>
      </c>
    </row>
    <row r="104" spans="3:9">
      <c r="C104" s="700">
        <v>45826</v>
      </c>
      <c r="D104" s="701">
        <v>4.47</v>
      </c>
      <c r="E104" s="701">
        <v>4.78</v>
      </c>
      <c r="F104" s="701">
        <v>4.43</v>
      </c>
      <c r="G104" s="701">
        <v>4.58</v>
      </c>
      <c r="H104" s="702">
        <v>9195775</v>
      </c>
    </row>
    <row r="105" spans="3:9">
      <c r="C105" s="700">
        <v>45825</v>
      </c>
      <c r="D105" s="701">
        <v>4.55</v>
      </c>
      <c r="E105" s="701">
        <v>4.75</v>
      </c>
      <c r="F105" s="701">
        <v>4.3899999999999997</v>
      </c>
      <c r="G105" s="701">
        <v>4.43</v>
      </c>
      <c r="H105" s="702">
        <v>9533376</v>
      </c>
    </row>
    <row r="106" spans="3:9">
      <c r="C106" s="700">
        <v>45824</v>
      </c>
      <c r="D106" s="701">
        <v>4.2</v>
      </c>
      <c r="E106" s="701">
        <v>4.66</v>
      </c>
      <c r="F106" s="701">
        <v>4.2</v>
      </c>
      <c r="G106" s="701">
        <v>4.63</v>
      </c>
      <c r="H106" s="702">
        <v>21377160</v>
      </c>
    </row>
    <row r="107" spans="3:9">
      <c r="C107" s="700">
        <v>45821</v>
      </c>
      <c r="D107" s="701">
        <v>4.04</v>
      </c>
      <c r="E107" s="701">
        <v>4.16</v>
      </c>
      <c r="F107" s="701">
        <v>3.96</v>
      </c>
      <c r="G107" s="701">
        <v>4.03</v>
      </c>
      <c r="H107" s="702">
        <v>9493170</v>
      </c>
    </row>
    <row r="108" spans="3:9">
      <c r="C108" s="700">
        <v>45820</v>
      </c>
      <c r="D108" s="701">
        <v>4.04</v>
      </c>
      <c r="E108" s="701">
        <v>4.29</v>
      </c>
      <c r="F108" s="701">
        <v>4</v>
      </c>
      <c r="G108" s="701">
        <v>4.16</v>
      </c>
      <c r="H108" s="702">
        <v>10136020</v>
      </c>
    </row>
    <row r="109" spans="3:9">
      <c r="C109" s="700">
        <v>45819</v>
      </c>
      <c r="D109" s="701">
        <v>4.08</v>
      </c>
      <c r="E109" s="701">
        <v>4.1399999999999997</v>
      </c>
      <c r="F109" s="701">
        <v>3.88</v>
      </c>
      <c r="G109" s="701">
        <v>4.01</v>
      </c>
      <c r="H109" s="702">
        <v>8419362</v>
      </c>
    </row>
    <row r="110" spans="3:9">
      <c r="C110" s="700">
        <v>45818</v>
      </c>
      <c r="D110" s="701">
        <v>4.24</v>
      </c>
      <c r="E110" s="701">
        <v>4.33</v>
      </c>
      <c r="F110" s="701">
        <v>4.04</v>
      </c>
      <c r="G110" s="701">
        <v>4.07</v>
      </c>
      <c r="H110" s="702">
        <v>12979210</v>
      </c>
    </row>
    <row r="111" spans="3:9">
      <c r="C111" s="700">
        <v>45817</v>
      </c>
      <c r="D111" s="701">
        <v>3.94</v>
      </c>
      <c r="E111" s="701">
        <v>4.3499999999999996</v>
      </c>
      <c r="F111" s="701">
        <v>3.92</v>
      </c>
      <c r="G111" s="701">
        <v>4.18</v>
      </c>
      <c r="H111" s="702">
        <v>21946461</v>
      </c>
    </row>
    <row r="112" spans="3:9">
      <c r="C112" s="700">
        <v>45814</v>
      </c>
      <c r="D112" s="701">
        <v>3.94</v>
      </c>
      <c r="E112" s="701">
        <v>4.03</v>
      </c>
      <c r="F112" s="701">
        <v>3.81</v>
      </c>
      <c r="G112" s="701">
        <v>3.84</v>
      </c>
      <c r="H112" s="702">
        <v>9926758</v>
      </c>
    </row>
    <row r="113" spans="3:8">
      <c r="C113" s="700">
        <v>45813</v>
      </c>
      <c r="D113" s="701">
        <v>3.82</v>
      </c>
      <c r="E113" s="701">
        <v>4.05</v>
      </c>
      <c r="F113" s="701">
        <v>3.78</v>
      </c>
      <c r="G113" s="701">
        <v>3.92</v>
      </c>
      <c r="H113" s="702">
        <v>17628891</v>
      </c>
    </row>
    <row r="114" spans="3:8">
      <c r="C114" s="700">
        <v>45812</v>
      </c>
      <c r="D114" s="701">
        <v>3.91</v>
      </c>
      <c r="E114" s="701">
        <v>3.93</v>
      </c>
      <c r="F114" s="701">
        <v>3.69</v>
      </c>
      <c r="G114" s="701">
        <v>3.8</v>
      </c>
      <c r="H114" s="702">
        <v>18372820</v>
      </c>
    </row>
    <row r="115" spans="3:8">
      <c r="C115" s="700">
        <v>45811</v>
      </c>
      <c r="D115" s="701">
        <v>4.18</v>
      </c>
      <c r="E115" s="701">
        <v>4.18</v>
      </c>
      <c r="F115" s="701">
        <v>3.81</v>
      </c>
      <c r="G115" s="701">
        <v>3.86</v>
      </c>
      <c r="H115" s="702">
        <v>25292740</v>
      </c>
    </row>
    <row r="116" spans="3:8">
      <c r="C116" s="700">
        <v>45810</v>
      </c>
      <c r="D116" s="701">
        <v>4.17</v>
      </c>
      <c r="E116" s="701">
        <v>4.21</v>
      </c>
      <c r="F116" s="701">
        <v>4.03</v>
      </c>
      <c r="G116" s="701">
        <v>4.1500000000000004</v>
      </c>
      <c r="H116" s="702">
        <v>19209090</v>
      </c>
    </row>
    <row r="117" spans="3:8">
      <c r="C117" s="700">
        <v>45807</v>
      </c>
      <c r="D117" s="701">
        <v>4.28</v>
      </c>
      <c r="E117" s="701">
        <v>4.29</v>
      </c>
      <c r="F117" s="701">
        <v>4.03</v>
      </c>
      <c r="G117" s="701">
        <v>4.16</v>
      </c>
      <c r="H117" s="702">
        <v>60776633</v>
      </c>
    </row>
    <row r="118" spans="3:8">
      <c r="C118" s="700">
        <v>45806</v>
      </c>
      <c r="D118" s="701">
        <v>5.05</v>
      </c>
      <c r="E118" s="701">
        <v>5.36</v>
      </c>
      <c r="F118" s="701">
        <v>4.51</v>
      </c>
      <c r="G118" s="701">
        <v>4.5199999999999996</v>
      </c>
      <c r="H118" s="702">
        <v>60725621</v>
      </c>
    </row>
    <row r="119" spans="3:8">
      <c r="C119" s="700">
        <v>45805</v>
      </c>
      <c r="D119" s="701">
        <v>5.9</v>
      </c>
      <c r="E119" s="701">
        <v>6.11</v>
      </c>
      <c r="F119" s="701">
        <v>5.58</v>
      </c>
      <c r="G119" s="701">
        <v>6</v>
      </c>
      <c r="H119" s="702">
        <v>7923243</v>
      </c>
    </row>
    <row r="120" spans="3:8">
      <c r="C120" s="700">
        <v>45804</v>
      </c>
      <c r="D120" s="701">
        <v>5.99</v>
      </c>
      <c r="E120" s="701">
        <v>6.01</v>
      </c>
      <c r="F120" s="701">
        <v>5.57</v>
      </c>
      <c r="G120" s="701">
        <v>5.89</v>
      </c>
      <c r="H120" s="702">
        <v>19378199</v>
      </c>
    </row>
    <row r="121" spans="3:8">
      <c r="C121" s="700">
        <v>45800</v>
      </c>
      <c r="D121" s="701">
        <v>5.85</v>
      </c>
      <c r="E121" s="701">
        <v>6.51</v>
      </c>
      <c r="F121" s="701">
        <v>5.83</v>
      </c>
      <c r="G121" s="701">
        <v>6.38</v>
      </c>
      <c r="H121" s="702">
        <v>8818424</v>
      </c>
    </row>
    <row r="122" spans="3:8">
      <c r="C122" s="700">
        <v>45799</v>
      </c>
      <c r="D122" s="701">
        <v>5.76</v>
      </c>
      <c r="E122" s="701">
        <v>6.1</v>
      </c>
      <c r="F122" s="701">
        <v>5.55</v>
      </c>
      <c r="G122" s="701">
        <v>6</v>
      </c>
      <c r="H122" s="702">
        <v>6971053</v>
      </c>
    </row>
    <row r="123" spans="3:8">
      <c r="C123" s="700">
        <v>45798</v>
      </c>
      <c r="D123" s="701">
        <v>6.07</v>
      </c>
      <c r="E123" s="701">
        <v>6.25</v>
      </c>
      <c r="F123" s="701">
        <v>5.85</v>
      </c>
      <c r="G123" s="701">
        <v>5.93</v>
      </c>
      <c r="H123" s="702">
        <v>9350660</v>
      </c>
    </row>
    <row r="124" spans="3:8">
      <c r="C124" s="700">
        <v>45797</v>
      </c>
      <c r="D124" s="701">
        <v>6.47</v>
      </c>
      <c r="E124" s="701">
        <v>6.59</v>
      </c>
      <c r="F124" s="701">
        <v>6.15</v>
      </c>
      <c r="G124" s="701">
        <v>6.2</v>
      </c>
      <c r="H124" s="702">
        <v>5382493</v>
      </c>
    </row>
    <row r="125" spans="3:8">
      <c r="C125" s="700">
        <v>45796</v>
      </c>
      <c r="D125" s="701">
        <v>6.72</v>
      </c>
      <c r="E125" s="701">
        <v>6.75</v>
      </c>
      <c r="F125" s="701">
        <v>6.35</v>
      </c>
      <c r="G125" s="701">
        <v>6.51</v>
      </c>
      <c r="H125" s="702">
        <v>8909632</v>
      </c>
    </row>
    <row r="126" spans="3:8">
      <c r="C126" s="700">
        <v>45793</v>
      </c>
      <c r="D126" s="701">
        <v>7.12</v>
      </c>
      <c r="E126" s="701">
        <v>7.12</v>
      </c>
      <c r="F126" s="701">
        <v>6.73</v>
      </c>
      <c r="G126" s="701">
        <v>6.98</v>
      </c>
      <c r="H126" s="702">
        <v>11005610</v>
      </c>
    </row>
    <row r="127" spans="3:8">
      <c r="C127" s="700">
        <v>45792</v>
      </c>
      <c r="D127" s="701">
        <v>6.9</v>
      </c>
      <c r="E127" s="701">
        <v>7.36</v>
      </c>
      <c r="F127" s="701">
        <v>6.75</v>
      </c>
      <c r="G127" s="701">
        <v>7.11</v>
      </c>
      <c r="H127" s="702">
        <v>12625980</v>
      </c>
    </row>
    <row r="128" spans="3:8">
      <c r="C128" s="700">
        <v>45791</v>
      </c>
      <c r="D128" s="701">
        <v>6.8</v>
      </c>
      <c r="E128" s="701">
        <v>7.05</v>
      </c>
      <c r="F128" s="701">
        <v>6.64</v>
      </c>
      <c r="G128" s="701">
        <v>6.94</v>
      </c>
      <c r="H128" s="702">
        <v>8391678</v>
      </c>
    </row>
    <row r="129" spans="3:8">
      <c r="C129" s="700">
        <v>45790</v>
      </c>
      <c r="D129" s="701">
        <v>6.46</v>
      </c>
      <c r="E129" s="701">
        <v>7.06</v>
      </c>
      <c r="F129" s="701">
        <v>6.45</v>
      </c>
      <c r="G129" s="701">
        <v>6.8</v>
      </c>
      <c r="H129" s="702">
        <v>15203210</v>
      </c>
    </row>
    <row r="130" spans="3:8">
      <c r="C130" s="700">
        <v>45789</v>
      </c>
      <c r="D130" s="701">
        <v>6.46</v>
      </c>
      <c r="E130" s="701">
        <v>6.73</v>
      </c>
      <c r="F130" s="701">
        <v>6.24</v>
      </c>
      <c r="G130" s="701">
        <v>6.33</v>
      </c>
      <c r="H130" s="702">
        <v>7884814</v>
      </c>
    </row>
    <row r="131" spans="3:8">
      <c r="C131" s="700">
        <v>45786</v>
      </c>
      <c r="D131" s="701">
        <v>6.06</v>
      </c>
      <c r="E131" s="701">
        <v>6.28</v>
      </c>
      <c r="F131" s="701">
        <v>5.79</v>
      </c>
      <c r="G131" s="701">
        <v>6.21</v>
      </c>
      <c r="H131" s="702">
        <v>7109848</v>
      </c>
    </row>
    <row r="132" spans="3:8">
      <c r="C132" s="700">
        <v>45785</v>
      </c>
      <c r="D132" s="701">
        <v>6.45</v>
      </c>
      <c r="E132" s="701">
        <v>6.5</v>
      </c>
      <c r="F132" s="701">
        <v>5.91</v>
      </c>
      <c r="G132" s="701">
        <v>6</v>
      </c>
      <c r="H132" s="702">
        <v>12887490</v>
      </c>
    </row>
    <row r="133" spans="3:8">
      <c r="C133" s="700">
        <v>45784</v>
      </c>
      <c r="D133" s="701">
        <v>5.36</v>
      </c>
      <c r="E133" s="701">
        <v>6.89</v>
      </c>
      <c r="F133" s="701">
        <v>5.34</v>
      </c>
      <c r="G133" s="701">
        <v>6.67</v>
      </c>
      <c r="H133" s="702">
        <v>37215230</v>
      </c>
    </row>
    <row r="134" spans="3:8">
      <c r="C134" s="700">
        <v>45783</v>
      </c>
      <c r="D134" s="701">
        <v>4.93</v>
      </c>
      <c r="E134" s="701">
        <v>5.0999999999999996</v>
      </c>
      <c r="F134" s="701">
        <v>4.8600000000000003</v>
      </c>
      <c r="G134" s="701">
        <v>5.04</v>
      </c>
      <c r="H134" s="702">
        <v>7250494</v>
      </c>
    </row>
    <row r="135" spans="3:8">
      <c r="C135" s="700">
        <v>45782</v>
      </c>
      <c r="D135" s="701">
        <v>5.27</v>
      </c>
      <c r="E135" s="701">
        <v>5.29</v>
      </c>
      <c r="F135" s="701">
        <v>5.0199999999999996</v>
      </c>
      <c r="G135" s="701">
        <v>5.0599999999999996</v>
      </c>
      <c r="H135" s="702">
        <v>4289278</v>
      </c>
    </row>
    <row r="136" spans="3:8">
      <c r="C136" s="700">
        <v>45779</v>
      </c>
      <c r="D136" s="701">
        <v>5.24</v>
      </c>
      <c r="E136" s="701">
        <v>5.42</v>
      </c>
      <c r="F136" s="701">
        <v>5.18</v>
      </c>
      <c r="G136" s="701">
        <v>5.33</v>
      </c>
      <c r="H136" s="702">
        <v>4730134</v>
      </c>
    </row>
    <row r="137" spans="3:8">
      <c r="C137" s="700">
        <v>45778</v>
      </c>
      <c r="D137" s="701">
        <v>5.33</v>
      </c>
      <c r="E137" s="701">
        <v>5.38</v>
      </c>
      <c r="F137" s="701">
        <v>5.12</v>
      </c>
      <c r="G137" s="701">
        <v>5.14</v>
      </c>
      <c r="H137" s="702">
        <v>4018851</v>
      </c>
    </row>
    <row r="138" spans="3:8">
      <c r="C138" s="700">
        <v>45777</v>
      </c>
      <c r="D138" s="701">
        <v>5.18</v>
      </c>
      <c r="E138" s="701">
        <v>5.23</v>
      </c>
      <c r="F138" s="701">
        <v>4.9800000000000004</v>
      </c>
      <c r="G138" s="701">
        <v>5.22</v>
      </c>
      <c r="H138" s="702">
        <v>4681744</v>
      </c>
    </row>
    <row r="139" spans="3:8">
      <c r="C139" s="700">
        <v>45776</v>
      </c>
      <c r="D139" s="701">
        <v>5.41</v>
      </c>
      <c r="E139" s="701">
        <v>5.47</v>
      </c>
      <c r="F139" s="701">
        <v>5.15</v>
      </c>
      <c r="G139" s="701">
        <v>5.42</v>
      </c>
      <c r="H139" s="702">
        <v>4248876</v>
      </c>
    </row>
    <row r="140" spans="3:8">
      <c r="C140" s="700">
        <v>45775</v>
      </c>
      <c r="D140" s="701">
        <v>5.3</v>
      </c>
      <c r="E140" s="701">
        <v>5.58</v>
      </c>
      <c r="F140" s="701">
        <v>5.18</v>
      </c>
      <c r="G140" s="701">
        <v>5.48</v>
      </c>
      <c r="H140" s="702">
        <v>6681427</v>
      </c>
    </row>
    <row r="141" spans="3:8">
      <c r="C141" s="700">
        <v>45772</v>
      </c>
      <c r="D141" s="701">
        <v>4.8499999999999996</v>
      </c>
      <c r="E141" s="701">
        <v>5.24</v>
      </c>
      <c r="F141" s="701">
        <v>4.78</v>
      </c>
      <c r="G141" s="701">
        <v>5.22</v>
      </c>
      <c r="H141" s="702">
        <v>5407114</v>
      </c>
    </row>
    <row r="142" spans="3:8">
      <c r="C142" s="700">
        <v>45771</v>
      </c>
      <c r="D142" s="701">
        <v>4.87</v>
      </c>
      <c r="E142" s="701">
        <v>5.09</v>
      </c>
      <c r="F142" s="701">
        <v>4.7699999999999996</v>
      </c>
      <c r="G142" s="701">
        <v>4.88</v>
      </c>
      <c r="H142" s="702">
        <v>5235910</v>
      </c>
    </row>
    <row r="143" spans="3:8">
      <c r="C143" s="700">
        <v>45770</v>
      </c>
      <c r="D143" s="701">
        <v>4.87</v>
      </c>
      <c r="E143" s="701">
        <v>5.09</v>
      </c>
      <c r="F143" s="701">
        <v>4.7699999999999996</v>
      </c>
      <c r="G143" s="701">
        <v>4.8600000000000003</v>
      </c>
      <c r="H143" s="702">
        <v>6166056</v>
      </c>
    </row>
    <row r="144" spans="3:8">
      <c r="C144" s="700">
        <v>45769</v>
      </c>
      <c r="D144" s="701">
        <v>4.68</v>
      </c>
      <c r="E144" s="701">
        <v>4.9000000000000004</v>
      </c>
      <c r="F144" s="701">
        <v>4.6100000000000003</v>
      </c>
      <c r="G144" s="701">
        <v>4.6500000000000004</v>
      </c>
      <c r="H144" s="702">
        <v>5273450</v>
      </c>
    </row>
    <row r="145" spans="3:8">
      <c r="C145" s="700">
        <v>45768</v>
      </c>
      <c r="D145" s="701">
        <v>4.63</v>
      </c>
      <c r="E145" s="701">
        <v>4.71</v>
      </c>
      <c r="F145" s="701">
        <v>4.41</v>
      </c>
      <c r="G145" s="701">
        <v>4.5199999999999996</v>
      </c>
      <c r="H145" s="702">
        <v>4424822</v>
      </c>
    </row>
    <row r="146" spans="3:8">
      <c r="C146" s="700">
        <v>45764</v>
      </c>
      <c r="D146" s="701">
        <v>4.96</v>
      </c>
      <c r="E146" s="701">
        <v>5.21</v>
      </c>
      <c r="F146" s="701">
        <v>4.72</v>
      </c>
      <c r="G146" s="701">
        <v>4.74</v>
      </c>
      <c r="H146" s="702">
        <v>5611053</v>
      </c>
    </row>
    <row r="147" spans="3:8">
      <c r="C147" s="700">
        <v>45763</v>
      </c>
      <c r="D147" s="701">
        <v>4.93</v>
      </c>
      <c r="E147" s="701">
        <v>5.09</v>
      </c>
      <c r="F147" s="701">
        <v>4.76</v>
      </c>
      <c r="G147" s="701">
        <v>4.8899999999999997</v>
      </c>
      <c r="H147" s="702">
        <v>5884534</v>
      </c>
    </row>
    <row r="148" spans="3:8">
      <c r="C148" s="700">
        <v>45762</v>
      </c>
      <c r="D148" s="701">
        <v>4.43</v>
      </c>
      <c r="E148" s="701">
        <v>5.09</v>
      </c>
      <c r="F148" s="701">
        <v>4.43</v>
      </c>
      <c r="G148" s="701">
        <v>5.05</v>
      </c>
      <c r="H148" s="702">
        <v>13178350</v>
      </c>
    </row>
    <row r="149" spans="3:8">
      <c r="C149" s="700">
        <v>45761</v>
      </c>
      <c r="D149" s="701">
        <v>4.32</v>
      </c>
      <c r="E149" s="701">
        <v>4.42</v>
      </c>
      <c r="F149" s="701">
        <v>4.1100000000000003</v>
      </c>
      <c r="G149" s="701">
        <v>4.22</v>
      </c>
      <c r="H149" s="702">
        <v>4615336</v>
      </c>
    </row>
    <row r="150" spans="3:8">
      <c r="C150" s="700">
        <v>45758</v>
      </c>
      <c r="D150" s="701">
        <v>3.86</v>
      </c>
      <c r="E150" s="701">
        <v>4.25</v>
      </c>
      <c r="F150" s="701">
        <v>3.76</v>
      </c>
      <c r="G150" s="701">
        <v>4.2300000000000004</v>
      </c>
      <c r="H150" s="702">
        <v>7587951</v>
      </c>
    </row>
    <row r="151" spans="3:8">
      <c r="C151" s="700">
        <v>45757</v>
      </c>
      <c r="D151" s="701">
        <v>3.79</v>
      </c>
      <c r="E151" s="701">
        <v>3.87</v>
      </c>
      <c r="F151" s="701">
        <v>3.47</v>
      </c>
      <c r="G151" s="701">
        <v>3.87</v>
      </c>
      <c r="H151" s="702">
        <v>5287716</v>
      </c>
    </row>
    <row r="152" spans="3:8">
      <c r="C152" s="700">
        <v>45756</v>
      </c>
      <c r="D152" s="701">
        <v>3.25</v>
      </c>
      <c r="E152" s="701">
        <v>3.94</v>
      </c>
      <c r="F152" s="701">
        <v>3.07</v>
      </c>
      <c r="G152" s="701">
        <v>3.86</v>
      </c>
      <c r="H152" s="702">
        <v>9726808</v>
      </c>
    </row>
    <row r="153" spans="3:8">
      <c r="C153" s="700">
        <v>45755</v>
      </c>
      <c r="D153" s="701">
        <v>3.78</v>
      </c>
      <c r="E153" s="701">
        <v>3.8</v>
      </c>
      <c r="F153" s="701">
        <v>3.14</v>
      </c>
      <c r="G153" s="701">
        <v>3.3</v>
      </c>
      <c r="H153" s="702">
        <v>7665215</v>
      </c>
    </row>
    <row r="154" spans="3:8">
      <c r="C154" s="700">
        <v>45754</v>
      </c>
      <c r="D154" s="701">
        <v>3.5</v>
      </c>
      <c r="E154" s="701">
        <v>3.99</v>
      </c>
      <c r="F154" s="701">
        <v>3.46</v>
      </c>
      <c r="G154" s="701">
        <v>3.54</v>
      </c>
      <c r="H154" s="702">
        <v>9304098</v>
      </c>
    </row>
    <row r="155" spans="3:8">
      <c r="C155" s="700">
        <v>45751</v>
      </c>
      <c r="D155" s="701">
        <v>3.78</v>
      </c>
      <c r="E155" s="701">
        <v>3.86</v>
      </c>
      <c r="F155" s="701">
        <v>3.35</v>
      </c>
      <c r="G155" s="701">
        <v>3.82</v>
      </c>
      <c r="H155" s="702">
        <v>6504897</v>
      </c>
    </row>
    <row r="156" spans="3:8">
      <c r="C156" s="700">
        <v>45750</v>
      </c>
      <c r="D156" s="701">
        <v>3.72</v>
      </c>
      <c r="E156" s="701">
        <v>4</v>
      </c>
      <c r="F156" s="701">
        <v>3.72</v>
      </c>
      <c r="G156" s="701">
        <v>3.97</v>
      </c>
      <c r="H156" s="702">
        <v>4494890</v>
      </c>
    </row>
    <row r="157" spans="3:8">
      <c r="C157" s="700">
        <v>45749</v>
      </c>
      <c r="D157" s="701">
        <v>3.91</v>
      </c>
      <c r="E157" s="701">
        <v>4.17</v>
      </c>
      <c r="F157" s="701">
        <v>3.9</v>
      </c>
      <c r="G157" s="701">
        <v>3.99</v>
      </c>
      <c r="H157" s="702">
        <v>2792970</v>
      </c>
    </row>
    <row r="158" spans="3:8">
      <c r="C158" s="700">
        <v>45748</v>
      </c>
      <c r="D158" s="701">
        <v>3.74</v>
      </c>
      <c r="E158" s="701">
        <v>4.0199999999999996</v>
      </c>
      <c r="F158" s="701">
        <v>3.7</v>
      </c>
      <c r="G158" s="701">
        <v>4.01</v>
      </c>
      <c r="H158" s="702">
        <v>4460937</v>
      </c>
    </row>
    <row r="159" spans="3:8">
      <c r="C159" s="700">
        <v>45747</v>
      </c>
      <c r="D159" s="701">
        <v>3.78</v>
      </c>
      <c r="E159" s="701">
        <v>3.87</v>
      </c>
      <c r="F159" s="701">
        <v>3.62</v>
      </c>
      <c r="G159" s="701">
        <v>3.78</v>
      </c>
      <c r="H159" s="702">
        <v>4229456</v>
      </c>
    </row>
    <row r="160" spans="3:8">
      <c r="C160" s="700">
        <v>45744</v>
      </c>
      <c r="D160" s="701">
        <v>3.96</v>
      </c>
      <c r="E160" s="701">
        <v>4.01</v>
      </c>
      <c r="F160" s="701">
        <v>3.84</v>
      </c>
      <c r="G160" s="701">
        <v>3.94</v>
      </c>
      <c r="H160" s="702">
        <v>3686172</v>
      </c>
    </row>
    <row r="161" spans="3:8">
      <c r="C161" s="700">
        <v>45743</v>
      </c>
      <c r="D161" s="701">
        <v>4.08</v>
      </c>
      <c r="E161" s="701">
        <v>4.0999999999999996</v>
      </c>
      <c r="F161" s="701">
        <v>3.93</v>
      </c>
      <c r="G161" s="701">
        <v>4.04</v>
      </c>
      <c r="H161" s="702">
        <v>2797355</v>
      </c>
    </row>
    <row r="162" spans="3:8">
      <c r="C162" s="700">
        <v>45742</v>
      </c>
      <c r="D162" s="701">
        <v>4.18</v>
      </c>
      <c r="E162" s="701">
        <v>4.21</v>
      </c>
      <c r="F162" s="701">
        <v>4.0199999999999996</v>
      </c>
      <c r="G162" s="701">
        <v>4.12</v>
      </c>
      <c r="H162" s="702">
        <v>3166226</v>
      </c>
    </row>
    <row r="163" spans="3:8">
      <c r="C163" s="700">
        <v>45741</v>
      </c>
      <c r="D163" s="701">
        <v>4.33</v>
      </c>
      <c r="E163" s="701">
        <v>4.37</v>
      </c>
      <c r="F163" s="701">
        <v>4.18</v>
      </c>
      <c r="G163" s="701">
        <v>4.1900000000000004</v>
      </c>
      <c r="H163" s="702">
        <v>2536374</v>
      </c>
    </row>
    <row r="164" spans="3:8">
      <c r="C164" s="700">
        <v>45740</v>
      </c>
      <c r="D164" s="701">
        <v>4.5</v>
      </c>
      <c r="E164" s="701">
        <v>4.58</v>
      </c>
      <c r="F164" s="701">
        <v>4.34</v>
      </c>
      <c r="G164" s="701">
        <v>4.3499999999999996</v>
      </c>
      <c r="H164" s="702">
        <v>3281493</v>
      </c>
    </row>
    <row r="165" spans="3:8">
      <c r="C165" s="700">
        <v>45737</v>
      </c>
      <c r="D165" s="701">
        <v>4.17</v>
      </c>
      <c r="E165" s="701">
        <v>4.43</v>
      </c>
      <c r="F165" s="701">
        <v>4.09</v>
      </c>
      <c r="G165" s="701">
        <v>4.3899999999999997</v>
      </c>
      <c r="H165" s="702">
        <v>3668380</v>
      </c>
    </row>
    <row r="166" spans="3:8">
      <c r="C166" s="700">
        <v>45736</v>
      </c>
      <c r="D166" s="701">
        <v>4.4000000000000004</v>
      </c>
      <c r="E166" s="701">
        <v>4.58</v>
      </c>
      <c r="F166" s="701">
        <v>4.25</v>
      </c>
      <c r="G166" s="701">
        <v>4.26</v>
      </c>
      <c r="H166" s="702">
        <v>3875740</v>
      </c>
    </row>
    <row r="167" spans="3:8">
      <c r="C167" s="700">
        <v>45735</v>
      </c>
      <c r="D167" s="701">
        <v>4.12</v>
      </c>
      <c r="E167" s="701">
        <v>4.54</v>
      </c>
      <c r="F167" s="701">
        <v>4.12</v>
      </c>
      <c r="G167" s="701">
        <v>4.4400000000000004</v>
      </c>
      <c r="H167" s="702">
        <v>5178945</v>
      </c>
    </row>
    <row r="168" spans="3:8">
      <c r="C168" s="700">
        <v>45734</v>
      </c>
      <c r="D168" s="701">
        <v>4.12</v>
      </c>
      <c r="E168" s="701">
        <v>4.16</v>
      </c>
      <c r="F168" s="701">
        <v>3.93</v>
      </c>
      <c r="G168" s="701">
        <v>4.0999999999999996</v>
      </c>
      <c r="H168" s="702">
        <v>2698489</v>
      </c>
    </row>
    <row r="169" spans="3:8">
      <c r="C169" s="700">
        <v>45733</v>
      </c>
      <c r="D169" s="701">
        <v>4.1399999999999997</v>
      </c>
      <c r="E169" s="701">
        <v>4.26</v>
      </c>
      <c r="F169" s="701">
        <v>4.09</v>
      </c>
      <c r="G169" s="701">
        <v>4.16</v>
      </c>
      <c r="H169" s="702">
        <v>2807917</v>
      </c>
    </row>
    <row r="170" spans="3:8">
      <c r="C170" s="700">
        <v>45730</v>
      </c>
      <c r="D170" s="701">
        <v>4.07</v>
      </c>
      <c r="E170" s="701">
        <v>4.2</v>
      </c>
      <c r="F170" s="701">
        <v>4.04</v>
      </c>
      <c r="G170" s="701">
        <v>4.13</v>
      </c>
      <c r="H170" s="702">
        <v>3435344</v>
      </c>
    </row>
    <row r="171" spans="3:8">
      <c r="C171" s="700">
        <v>45729</v>
      </c>
      <c r="D171" s="701">
        <v>4.1100000000000003</v>
      </c>
      <c r="E171" s="701">
        <v>4.21</v>
      </c>
      <c r="F171" s="701">
        <v>3.84</v>
      </c>
      <c r="G171" s="701">
        <v>3.95</v>
      </c>
      <c r="H171" s="702">
        <v>3939872</v>
      </c>
    </row>
    <row r="172" spans="3:8">
      <c r="C172" s="700">
        <v>45728</v>
      </c>
      <c r="D172" s="701">
        <v>4.12</v>
      </c>
      <c r="E172" s="701">
        <v>4.18</v>
      </c>
      <c r="F172" s="701">
        <v>4</v>
      </c>
      <c r="G172" s="701">
        <v>4.1100000000000003</v>
      </c>
      <c r="H172" s="702">
        <v>4838820</v>
      </c>
    </row>
    <row r="173" spans="3:8">
      <c r="C173" s="700">
        <v>45727</v>
      </c>
      <c r="D173" s="701">
        <v>3.94</v>
      </c>
      <c r="E173" s="701">
        <v>4.0599999999999996</v>
      </c>
      <c r="F173" s="701">
        <v>3.8</v>
      </c>
      <c r="G173" s="701">
        <v>3.95</v>
      </c>
      <c r="H173" s="702">
        <v>4562120</v>
      </c>
    </row>
    <row r="174" spans="3:8">
      <c r="C174" s="700">
        <v>45726</v>
      </c>
      <c r="D174" s="701">
        <v>4.4400000000000004</v>
      </c>
      <c r="E174" s="701">
        <v>4.4400000000000004</v>
      </c>
      <c r="F174" s="701">
        <v>3.84</v>
      </c>
      <c r="G174" s="701">
        <v>3.94</v>
      </c>
      <c r="H174" s="702">
        <v>8266538</v>
      </c>
    </row>
    <row r="175" spans="3:8">
      <c r="C175" s="700">
        <v>45723</v>
      </c>
      <c r="D175" s="701">
        <v>4.51</v>
      </c>
      <c r="E175" s="701">
        <v>4.7</v>
      </c>
      <c r="F175" s="701">
        <v>4.26</v>
      </c>
      <c r="G175" s="701">
        <v>4.5999999999999996</v>
      </c>
      <c r="H175" s="702">
        <v>5707530</v>
      </c>
    </row>
    <row r="176" spans="3:8">
      <c r="C176" s="700">
        <v>45722</v>
      </c>
      <c r="D176" s="701">
        <v>4.7300000000000004</v>
      </c>
      <c r="E176" s="701">
        <v>4.9000000000000004</v>
      </c>
      <c r="F176" s="701">
        <v>4.4400000000000004</v>
      </c>
      <c r="G176" s="701">
        <v>4.53</v>
      </c>
      <c r="H176" s="702">
        <v>7290214</v>
      </c>
    </row>
    <row r="177" spans="3:8">
      <c r="C177" s="700">
        <v>45721</v>
      </c>
      <c r="D177" s="701">
        <v>4.2</v>
      </c>
      <c r="E177" s="701">
        <v>4.9800000000000004</v>
      </c>
      <c r="F177" s="701">
        <v>4.1399999999999997</v>
      </c>
      <c r="G177" s="701">
        <v>4.97</v>
      </c>
      <c r="H177" s="702">
        <v>13082340</v>
      </c>
    </row>
    <row r="178" spans="3:8">
      <c r="C178" s="700">
        <v>45720</v>
      </c>
      <c r="D178" s="701">
        <v>3.84</v>
      </c>
      <c r="E178" s="701">
        <v>4.08</v>
      </c>
      <c r="F178" s="701">
        <v>3.66</v>
      </c>
      <c r="G178" s="701">
        <v>3.94</v>
      </c>
      <c r="H178" s="702">
        <v>6998703</v>
      </c>
    </row>
    <row r="179" spans="3:8">
      <c r="C179" s="700">
        <v>45719</v>
      </c>
      <c r="D179" s="701">
        <v>4.45</v>
      </c>
      <c r="E179" s="701">
        <v>4.4800000000000004</v>
      </c>
      <c r="F179" s="701">
        <v>3.9</v>
      </c>
      <c r="G179" s="701">
        <v>3.99</v>
      </c>
      <c r="H179" s="702">
        <v>6734346</v>
      </c>
    </row>
    <row r="180" spans="3:8">
      <c r="C180" s="700">
        <v>45716</v>
      </c>
      <c r="D180" s="701">
        <v>3.97</v>
      </c>
      <c r="E180" s="701">
        <v>4.4800000000000004</v>
      </c>
      <c r="F180" s="701">
        <v>3.92</v>
      </c>
      <c r="G180" s="701">
        <v>4.37</v>
      </c>
      <c r="H180" s="702">
        <v>5902603</v>
      </c>
    </row>
    <row r="181" spans="3:8">
      <c r="C181" s="700">
        <v>45715</v>
      </c>
      <c r="D181" s="701">
        <v>4.3099999999999996</v>
      </c>
      <c r="E181" s="701">
        <v>4.3499999999999996</v>
      </c>
      <c r="F181" s="701">
        <v>4.07</v>
      </c>
      <c r="G181" s="701">
        <v>4.07</v>
      </c>
      <c r="H181" s="702">
        <v>3066257</v>
      </c>
    </row>
    <row r="182" spans="3:8">
      <c r="C182" s="700">
        <v>45714</v>
      </c>
      <c r="D182" s="701">
        <v>4.12</v>
      </c>
      <c r="E182" s="701">
        <v>4.47</v>
      </c>
      <c r="F182" s="701">
        <v>4.0999999999999996</v>
      </c>
      <c r="G182" s="701">
        <v>4.28</v>
      </c>
      <c r="H182" s="702">
        <v>5692622</v>
      </c>
    </row>
    <row r="183" spans="3:8">
      <c r="C183" s="700">
        <v>45713</v>
      </c>
      <c r="D183" s="701">
        <v>4.21</v>
      </c>
      <c r="E183" s="701">
        <v>4.24</v>
      </c>
      <c r="F183" s="701">
        <v>3.86</v>
      </c>
      <c r="G183" s="701">
        <v>4.09</v>
      </c>
      <c r="H183" s="702">
        <v>9055286</v>
      </c>
    </row>
    <row r="184" spans="3:8">
      <c r="C184" s="700">
        <v>45712</v>
      </c>
      <c r="D184" s="701">
        <v>4.47</v>
      </c>
      <c r="E184" s="701">
        <v>4.4800000000000004</v>
      </c>
      <c r="F184" s="701">
        <v>4.13</v>
      </c>
      <c r="G184" s="701">
        <v>4.26</v>
      </c>
      <c r="H184" s="702">
        <v>6582471</v>
      </c>
    </row>
    <row r="185" spans="3:8">
      <c r="C185" s="700">
        <v>45709</v>
      </c>
      <c r="D185" s="701">
        <v>4.79</v>
      </c>
      <c r="E185" s="701">
        <v>4.83</v>
      </c>
      <c r="F185" s="701">
        <v>4.47</v>
      </c>
      <c r="G185" s="701">
        <v>4.4800000000000004</v>
      </c>
      <c r="H185" s="702">
        <v>4967053</v>
      </c>
    </row>
    <row r="186" spans="3:8">
      <c r="C186" s="700">
        <v>45708</v>
      </c>
      <c r="D186" s="701">
        <v>4.63</v>
      </c>
      <c r="E186" s="701">
        <v>4.8099999999999996</v>
      </c>
      <c r="F186" s="701">
        <v>4.38</v>
      </c>
      <c r="G186" s="701">
        <v>4.75</v>
      </c>
      <c r="H186" s="702">
        <v>8242808</v>
      </c>
    </row>
    <row r="187" spans="3:8">
      <c r="C187" s="700">
        <v>45707</v>
      </c>
      <c r="D187" s="701">
        <v>5.0199999999999996</v>
      </c>
      <c r="E187" s="701">
        <v>5.1100000000000003</v>
      </c>
      <c r="F187" s="701">
        <v>4.78</v>
      </c>
      <c r="G187" s="701">
        <v>4.82</v>
      </c>
      <c r="H187" s="702">
        <v>5355831</v>
      </c>
    </row>
    <row r="188" spans="3:8">
      <c r="C188" s="700">
        <v>45706</v>
      </c>
      <c r="D188" s="701">
        <v>4.9000000000000004</v>
      </c>
      <c r="E188" s="701">
        <v>5.01</v>
      </c>
      <c r="F188" s="701">
        <v>4.68</v>
      </c>
      <c r="G188" s="701">
        <v>4.9800000000000004</v>
      </c>
      <c r="H188" s="702">
        <v>5568493</v>
      </c>
    </row>
    <row r="189" spans="3:8">
      <c r="C189" s="700">
        <v>45702</v>
      </c>
      <c r="D189" s="701">
        <v>5.26</v>
      </c>
      <c r="E189" s="701">
        <v>5.26</v>
      </c>
      <c r="F189" s="701">
        <v>4.8899999999999997</v>
      </c>
      <c r="G189" s="701">
        <v>4.9000000000000004</v>
      </c>
      <c r="H189" s="702">
        <v>4031966</v>
      </c>
    </row>
    <row r="190" spans="3:8">
      <c r="C190" s="700">
        <v>45701</v>
      </c>
      <c r="D190" s="701">
        <v>5.01</v>
      </c>
      <c r="E190" s="701">
        <v>5.28</v>
      </c>
      <c r="F190" s="701">
        <v>4.91</v>
      </c>
      <c r="G190" s="701">
        <v>5.23</v>
      </c>
      <c r="H190" s="702">
        <v>4302262</v>
      </c>
    </row>
    <row r="191" spans="3:8">
      <c r="C191" s="700">
        <v>45700</v>
      </c>
      <c r="D191" s="701">
        <v>4.7</v>
      </c>
      <c r="E191" s="701">
        <v>5.09</v>
      </c>
      <c r="F191" s="701">
        <v>4.5999999999999996</v>
      </c>
      <c r="G191" s="701">
        <v>4.97</v>
      </c>
      <c r="H191" s="702">
        <v>6987580</v>
      </c>
    </row>
    <row r="192" spans="3:8">
      <c r="C192" s="700">
        <v>45699</v>
      </c>
      <c r="D192" s="701">
        <v>5.21</v>
      </c>
      <c r="E192" s="701">
        <v>5.42</v>
      </c>
      <c r="F192" s="701">
        <v>4.8099999999999996</v>
      </c>
      <c r="G192" s="701">
        <v>4.91</v>
      </c>
      <c r="H192" s="702">
        <v>12411380</v>
      </c>
    </row>
    <row r="193" spans="3:8">
      <c r="C193" s="700">
        <v>45698</v>
      </c>
      <c r="D193" s="701">
        <v>5.33</v>
      </c>
      <c r="E193" s="701">
        <v>5.6</v>
      </c>
      <c r="F193" s="701">
        <v>5.14</v>
      </c>
      <c r="G193" s="701">
        <v>5.4</v>
      </c>
      <c r="H193" s="702">
        <v>5977031</v>
      </c>
    </row>
    <row r="194" spans="3:8">
      <c r="C194" s="700">
        <v>45695</v>
      </c>
      <c r="D194" s="701">
        <v>5.48</v>
      </c>
      <c r="E194" s="701">
        <v>5.72</v>
      </c>
      <c r="F194" s="701">
        <v>5.3</v>
      </c>
      <c r="G194" s="701">
        <v>5.33</v>
      </c>
      <c r="H194" s="702">
        <v>4760272</v>
      </c>
    </row>
    <row r="195" spans="3:8">
      <c r="C195" s="700">
        <v>45694</v>
      </c>
      <c r="D195" s="701">
        <v>5.51</v>
      </c>
      <c r="E195" s="701">
        <v>5.63</v>
      </c>
      <c r="F195" s="701">
        <v>5.34</v>
      </c>
      <c r="G195" s="701">
        <v>5.46</v>
      </c>
      <c r="H195" s="702">
        <v>4531461</v>
      </c>
    </row>
    <row r="196" spans="3:8">
      <c r="C196" s="700">
        <v>45693</v>
      </c>
      <c r="D196" s="701">
        <v>5.97</v>
      </c>
      <c r="E196" s="701">
        <v>6.08</v>
      </c>
      <c r="F196" s="701">
        <v>5.33</v>
      </c>
      <c r="G196" s="701">
        <v>5.39</v>
      </c>
      <c r="H196" s="702">
        <v>8063898</v>
      </c>
    </row>
    <row r="197" spans="3:8">
      <c r="C197" s="700">
        <v>45692</v>
      </c>
      <c r="D197" s="701">
        <v>5.61</v>
      </c>
      <c r="E197" s="701">
        <v>6.12</v>
      </c>
      <c r="F197" s="701">
        <v>5.43</v>
      </c>
      <c r="G197" s="701">
        <v>5.94</v>
      </c>
      <c r="H197" s="702">
        <v>7367162</v>
      </c>
    </row>
    <row r="198" spans="3:8">
      <c r="C198" s="700">
        <v>45691</v>
      </c>
      <c r="D198" s="701">
        <v>5.36</v>
      </c>
      <c r="E198" s="701">
        <v>5.8</v>
      </c>
      <c r="F198" s="701">
        <v>5.29</v>
      </c>
      <c r="G198" s="701">
        <v>5.61</v>
      </c>
      <c r="H198" s="702">
        <v>4934879</v>
      </c>
    </row>
    <row r="199" spans="3:8">
      <c r="C199" s="700">
        <v>45688</v>
      </c>
      <c r="D199" s="701">
        <v>5.86</v>
      </c>
      <c r="E199" s="701">
        <v>6.2</v>
      </c>
      <c r="F199" s="701">
        <v>5.73</v>
      </c>
      <c r="G199" s="701">
        <v>5.74</v>
      </c>
      <c r="H199" s="702">
        <v>6099898</v>
      </c>
    </row>
    <row r="200" spans="3:8">
      <c r="C200" s="700">
        <v>45687</v>
      </c>
      <c r="D200" s="701">
        <v>5.54</v>
      </c>
      <c r="E200" s="701">
        <v>6.28</v>
      </c>
      <c r="F200" s="701">
        <v>5.54</v>
      </c>
      <c r="G200" s="701">
        <v>5.81</v>
      </c>
      <c r="H200" s="702">
        <v>11750100</v>
      </c>
    </row>
    <row r="201" spans="3:8">
      <c r="C201" s="700">
        <v>45686</v>
      </c>
      <c r="D201" s="701">
        <v>5.65</v>
      </c>
      <c r="E201" s="701">
        <v>5.86</v>
      </c>
      <c r="F201" s="701">
        <v>5.32</v>
      </c>
      <c r="G201" s="701">
        <v>5.44</v>
      </c>
      <c r="H201" s="702">
        <v>4875970</v>
      </c>
    </row>
    <row r="202" spans="3:8">
      <c r="C202" s="700">
        <v>45685</v>
      </c>
      <c r="D202" s="701">
        <v>5.89</v>
      </c>
      <c r="E202" s="701">
        <v>5.99</v>
      </c>
      <c r="F202" s="701">
        <v>5.27</v>
      </c>
      <c r="G202" s="701">
        <v>5.68</v>
      </c>
      <c r="H202" s="702">
        <v>8908256</v>
      </c>
    </row>
    <row r="203" spans="3:8">
      <c r="C203" s="700">
        <v>45684</v>
      </c>
      <c r="D203" s="701">
        <v>5.84</v>
      </c>
      <c r="E203" s="701">
        <v>6.16</v>
      </c>
      <c r="F203" s="701">
        <v>5.67</v>
      </c>
      <c r="G203" s="701">
        <v>5.85</v>
      </c>
      <c r="H203" s="702">
        <v>6663511</v>
      </c>
    </row>
    <row r="204" spans="3:8">
      <c r="C204" s="700">
        <v>45681</v>
      </c>
      <c r="D204" s="701">
        <v>6.25</v>
      </c>
      <c r="E204" s="701">
        <v>6.64</v>
      </c>
      <c r="F204" s="701">
        <v>5.97</v>
      </c>
      <c r="G204" s="701">
        <v>6.08</v>
      </c>
      <c r="H204" s="702">
        <v>7668678</v>
      </c>
    </row>
    <row r="205" spans="3:8">
      <c r="C205" s="700">
        <v>45680</v>
      </c>
      <c r="D205" s="701">
        <v>5.88</v>
      </c>
      <c r="E205" s="701">
        <v>6.23</v>
      </c>
      <c r="F205" s="701">
        <v>5.72</v>
      </c>
      <c r="G205" s="701">
        <v>6.19</v>
      </c>
      <c r="H205" s="702">
        <v>7878033</v>
      </c>
    </row>
    <row r="206" spans="3:8">
      <c r="C206" s="700">
        <v>45679</v>
      </c>
      <c r="D206" s="701">
        <v>5.77</v>
      </c>
      <c r="E206" s="701">
        <v>5.91</v>
      </c>
      <c r="F206" s="701">
        <v>5.58</v>
      </c>
      <c r="G206" s="701">
        <v>5.84</v>
      </c>
      <c r="H206" s="702">
        <v>5473715</v>
      </c>
    </row>
    <row r="207" spans="3:8">
      <c r="C207" s="700">
        <v>45678</v>
      </c>
      <c r="D207" s="701">
        <v>6.08</v>
      </c>
      <c r="E207" s="701">
        <v>6.14</v>
      </c>
      <c r="F207" s="701">
        <v>5.0999999999999996</v>
      </c>
      <c r="G207" s="701">
        <v>5.74</v>
      </c>
      <c r="H207" s="702">
        <v>14775400</v>
      </c>
    </row>
    <row r="208" spans="3:8">
      <c r="C208" s="700">
        <v>45674</v>
      </c>
      <c r="D208" s="701">
        <v>6.14</v>
      </c>
      <c r="E208" s="701">
        <v>6.47</v>
      </c>
      <c r="F208" s="701">
        <v>5.92</v>
      </c>
      <c r="G208" s="701">
        <v>6.02</v>
      </c>
      <c r="H208" s="702">
        <v>9392649</v>
      </c>
    </row>
    <row r="209" spans="3:8">
      <c r="C209" s="700">
        <v>45673</v>
      </c>
      <c r="D209" s="701">
        <v>5.29</v>
      </c>
      <c r="E209" s="701">
        <v>6.35</v>
      </c>
      <c r="F209" s="701">
        <v>5.09</v>
      </c>
      <c r="G209" s="701">
        <v>6.16</v>
      </c>
      <c r="H209" s="702">
        <v>17837801</v>
      </c>
    </row>
    <row r="210" spans="3:8">
      <c r="C210" s="700">
        <v>45672</v>
      </c>
      <c r="D210" s="701">
        <v>4.68</v>
      </c>
      <c r="E210" s="701">
        <v>5.27</v>
      </c>
      <c r="F210" s="701">
        <v>4.66</v>
      </c>
      <c r="G210" s="701">
        <v>5.2</v>
      </c>
      <c r="H210" s="702">
        <v>9536109</v>
      </c>
    </row>
    <row r="211" spans="3:8">
      <c r="C211" s="700">
        <v>45671</v>
      </c>
      <c r="D211" s="701">
        <v>4.87</v>
      </c>
      <c r="E211" s="701">
        <v>4.95</v>
      </c>
      <c r="F211" s="701">
        <v>4.46</v>
      </c>
      <c r="G211" s="701">
        <v>4.5999999999999996</v>
      </c>
      <c r="H211" s="702">
        <v>6434978</v>
      </c>
    </row>
    <row r="212" spans="3:8">
      <c r="C212" s="700">
        <v>45670</v>
      </c>
      <c r="D212" s="701">
        <v>4.75</v>
      </c>
      <c r="E212" s="701">
        <v>4.79</v>
      </c>
      <c r="F212" s="701">
        <v>4.5</v>
      </c>
      <c r="G212" s="701">
        <v>4.74</v>
      </c>
      <c r="H212" s="702">
        <v>8323929</v>
      </c>
    </row>
    <row r="213" spans="3:8">
      <c r="C213" s="700">
        <v>45667</v>
      </c>
      <c r="D213" s="701">
        <v>5.0599999999999996</v>
      </c>
      <c r="E213" s="701">
        <v>5.17</v>
      </c>
      <c r="F213" s="701">
        <v>4.76</v>
      </c>
      <c r="G213" s="701">
        <v>4.96</v>
      </c>
      <c r="H213" s="702">
        <v>7841841</v>
      </c>
    </row>
    <row r="214" spans="3:8">
      <c r="C214" s="700">
        <v>45665</v>
      </c>
      <c r="D214" s="701">
        <v>5.3</v>
      </c>
      <c r="E214" s="701">
        <v>5.39</v>
      </c>
      <c r="F214" s="701">
        <v>4.96</v>
      </c>
      <c r="G214" s="701">
        <v>5.18</v>
      </c>
      <c r="H214" s="702">
        <v>9789749</v>
      </c>
    </row>
    <row r="215" spans="3:8">
      <c r="C215" s="700">
        <v>45664</v>
      </c>
      <c r="D215" s="701">
        <v>5.56</v>
      </c>
      <c r="E215" s="701">
        <v>5.7</v>
      </c>
      <c r="F215" s="701">
        <v>5.36</v>
      </c>
      <c r="G215" s="701">
        <v>5.39</v>
      </c>
      <c r="H215" s="702">
        <v>6291489</v>
      </c>
    </row>
    <row r="216" spans="3:8">
      <c r="C216" s="700">
        <v>45663</v>
      </c>
      <c r="D216" s="701">
        <v>5.79</v>
      </c>
      <c r="E216" s="701">
        <v>6.01</v>
      </c>
      <c r="F216" s="701">
        <v>5.48</v>
      </c>
      <c r="G216" s="701">
        <v>5.52</v>
      </c>
      <c r="H216" s="702">
        <v>10333540</v>
      </c>
    </row>
    <row r="217" spans="3:8">
      <c r="C217" s="700">
        <v>45660</v>
      </c>
      <c r="D217" s="701">
        <v>5.53</v>
      </c>
      <c r="E217" s="701">
        <v>5.82</v>
      </c>
      <c r="F217" s="701">
        <v>5.29</v>
      </c>
      <c r="G217" s="701">
        <v>5.67</v>
      </c>
      <c r="H217" s="702">
        <v>9043812</v>
      </c>
    </row>
    <row r="218" spans="3:8">
      <c r="C218" s="700">
        <v>45659</v>
      </c>
      <c r="D218" s="701">
        <v>4.9800000000000004</v>
      </c>
      <c r="E218" s="701">
        <v>5.7</v>
      </c>
      <c r="F218" s="701">
        <v>4.9400000000000004</v>
      </c>
      <c r="G218" s="701">
        <v>5.53</v>
      </c>
      <c r="H218" s="702">
        <v>13367250</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7EDB4-17F8-A745-912B-0BA2A45E62A9}">
  <dimension ref="A1:P52"/>
  <sheetViews>
    <sheetView topLeftCell="A31" zoomScale="150" workbookViewId="0">
      <selection activeCell="C19" sqref="C19"/>
    </sheetView>
  </sheetViews>
  <sheetFormatPr baseColWidth="10" defaultColWidth="10.83203125" defaultRowHeight="14"/>
  <cols>
    <col min="1" max="16384" width="10.83203125" style="575"/>
  </cols>
  <sheetData>
    <row r="1" spans="1:16" ht="18">
      <c r="A1" s="574" t="s">
        <v>473</v>
      </c>
      <c r="O1" s="575" t="s">
        <v>474</v>
      </c>
      <c r="P1" s="575">
        <v>1</v>
      </c>
    </row>
    <row r="2" spans="1:16" ht="18">
      <c r="A2" s="574" t="s">
        <v>475</v>
      </c>
      <c r="O2" s="575" t="s">
        <v>476</v>
      </c>
      <c r="P2" s="575">
        <v>2</v>
      </c>
    </row>
    <row r="3" spans="1:16" s="577" customFormat="1" ht="17" thickBot="1">
      <c r="A3" s="576" t="s">
        <v>477</v>
      </c>
      <c r="P3" s="577">
        <v>3</v>
      </c>
    </row>
    <row r="4" spans="1:16" ht="15" thickBot="1">
      <c r="A4" s="578" t="s">
        <v>478</v>
      </c>
      <c r="B4" s="578"/>
      <c r="C4" s="579">
        <v>2</v>
      </c>
      <c r="D4" s="578" t="s">
        <v>479</v>
      </c>
      <c r="E4" s="578"/>
      <c r="F4" s="578"/>
      <c r="G4" s="578"/>
      <c r="H4" s="578"/>
      <c r="I4" s="578" t="s">
        <v>480</v>
      </c>
      <c r="J4" s="578"/>
    </row>
    <row r="5" spans="1:16">
      <c r="A5" s="578" t="s">
        <v>481</v>
      </c>
      <c r="B5" s="578"/>
      <c r="C5" s="578"/>
      <c r="D5" s="578"/>
      <c r="E5" s="578"/>
      <c r="F5" s="580" t="s">
        <v>476</v>
      </c>
      <c r="G5" s="578" t="s">
        <v>482</v>
      </c>
      <c r="H5" s="578"/>
      <c r="I5" s="578"/>
      <c r="J5" s="578"/>
    </row>
    <row r="6" spans="1:16" ht="15" thickBot="1">
      <c r="A6" s="578" t="s">
        <v>483</v>
      </c>
      <c r="B6" s="578"/>
      <c r="C6" s="578"/>
      <c r="D6" s="578"/>
      <c r="E6" s="578"/>
      <c r="F6" s="581">
        <v>50</v>
      </c>
      <c r="G6" s="578" t="s">
        <v>484</v>
      </c>
      <c r="H6" s="578"/>
      <c r="I6" s="578"/>
      <c r="J6" s="578"/>
    </row>
    <row r="7" spans="1:16" ht="15" thickBot="1">
      <c r="A7" s="578" t="s">
        <v>485</v>
      </c>
      <c r="B7" s="578"/>
      <c r="C7" s="578"/>
      <c r="D7" s="578"/>
      <c r="E7" s="578"/>
      <c r="F7" s="582">
        <v>8</v>
      </c>
      <c r="G7" s="578" t="s">
        <v>486</v>
      </c>
      <c r="H7" s="578"/>
      <c r="I7" s="578"/>
      <c r="J7" s="578"/>
    </row>
    <row r="8" spans="1:16" ht="15" thickBot="1">
      <c r="A8" s="578" t="s">
        <v>487</v>
      </c>
      <c r="B8" s="578"/>
      <c r="C8" s="578"/>
      <c r="D8" s="578"/>
      <c r="E8" s="578"/>
      <c r="F8" s="583">
        <v>0.03</v>
      </c>
      <c r="G8" s="578"/>
      <c r="H8" s="578"/>
      <c r="I8" s="578"/>
      <c r="J8" s="578"/>
    </row>
    <row r="9" spans="1:16" ht="15" thickBot="1">
      <c r="A9" s="584" t="s">
        <v>488</v>
      </c>
      <c r="B9" s="578"/>
      <c r="C9" s="578"/>
      <c r="D9" s="578"/>
      <c r="E9" s="578"/>
      <c r="F9" s="578"/>
      <c r="G9" s="578"/>
      <c r="H9" s="578"/>
      <c r="I9" s="578"/>
      <c r="J9" s="578"/>
    </row>
    <row r="10" spans="1:16" ht="15" thickBot="1">
      <c r="A10" s="578" t="s">
        <v>489</v>
      </c>
      <c r="B10" s="578"/>
      <c r="C10" s="578"/>
      <c r="D10" s="585">
        <f>IF(F5="Yes",'[3]Synthetic Rating '!F32/('[4]Synthetic Rating '!F7+'[3]Synthetic Rating '!C29*'[4]Synthetic Rating '!D13),IF('[4]Synthetic Rating '!F7&gt;0,'[4]Synthetic Rating '!F6/'[4]Synthetic Rating '!F7,100000))</f>
        <v>6.25</v>
      </c>
      <c r="E10" s="578"/>
      <c r="F10" s="578"/>
      <c r="G10" s="578"/>
      <c r="H10" s="578"/>
      <c r="I10" s="578"/>
      <c r="J10" s="578"/>
    </row>
    <row r="11" spans="1:16" ht="15" thickBot="1">
      <c r="A11" s="578" t="s">
        <v>490</v>
      </c>
      <c r="D11" s="586" t="str">
        <f>IF(C4=1,VLOOKUP(D10,A19:D33,3),(IF(C4=2,VLOOKUP(D10,A38:D52,3),VLOOKUP(D10,F19:I33,3))))</f>
        <v>A2/A</v>
      </c>
      <c r="F11" s="587" t="s">
        <v>491</v>
      </c>
    </row>
    <row r="12" spans="1:16" ht="15" thickBot="1">
      <c r="A12" s="578" t="s">
        <v>492</v>
      </c>
      <c r="D12" s="588">
        <f>IF(C4=1,VLOOKUP(D10,A19:D33,4),(IF(C4=2,VLOOKUP(D10,A38:D52,4),VLOOKUP(D10,F19:I33,4))))</f>
        <v>8.5000000000000006E-3</v>
      </c>
      <c r="F12" s="587" t="s">
        <v>493</v>
      </c>
    </row>
    <row r="13" spans="1:16" s="578" customFormat="1" thickBot="1">
      <c r="A13" s="578" t="s">
        <v>494</v>
      </c>
      <c r="D13" s="589">
        <f>F8+D12</f>
        <v>3.85E-2</v>
      </c>
    </row>
    <row r="14" spans="1:16" s="578" customFormat="1" ht="13">
      <c r="D14" s="590"/>
    </row>
    <row r="15" spans="1:16" s="591" customFormat="1" ht="13">
      <c r="A15" s="591" t="s">
        <v>495</v>
      </c>
      <c r="D15" s="592"/>
    </row>
    <row r="16" spans="1:16">
      <c r="A16" s="584" t="s">
        <v>496</v>
      </c>
      <c r="F16" s="584" t="s">
        <v>497</v>
      </c>
    </row>
    <row r="17" spans="1:10">
      <c r="A17" s="593" t="s">
        <v>498</v>
      </c>
      <c r="B17" s="593"/>
      <c r="C17" s="594"/>
      <c r="D17" s="594"/>
      <c r="F17" s="591" t="s">
        <v>499</v>
      </c>
      <c r="G17" s="595"/>
      <c r="H17" s="578"/>
      <c r="I17" s="578"/>
      <c r="J17" s="578"/>
    </row>
    <row r="18" spans="1:10">
      <c r="A18" s="596" t="s">
        <v>500</v>
      </c>
      <c r="B18" s="596" t="s">
        <v>501</v>
      </c>
      <c r="C18" s="596" t="s">
        <v>502</v>
      </c>
      <c r="D18" s="596" t="s">
        <v>503</v>
      </c>
      <c r="F18" s="597" t="s">
        <v>504</v>
      </c>
      <c r="G18" s="597" t="s">
        <v>501</v>
      </c>
      <c r="H18" s="597" t="s">
        <v>502</v>
      </c>
      <c r="I18" s="597" t="s">
        <v>503</v>
      </c>
    </row>
    <row r="19" spans="1:10">
      <c r="A19" s="598">
        <v>-100000</v>
      </c>
      <c r="B19" s="598">
        <v>0.19999900000000001</v>
      </c>
      <c r="C19" s="598" t="s">
        <v>505</v>
      </c>
      <c r="D19" s="599">
        <v>0.19</v>
      </c>
      <c r="F19" s="597">
        <v>-100000</v>
      </c>
      <c r="G19" s="597">
        <v>4.9999000000000002E-2</v>
      </c>
      <c r="H19" s="600" t="s">
        <v>505</v>
      </c>
      <c r="I19" s="599">
        <v>0.19</v>
      </c>
    </row>
    <row r="20" spans="1:10">
      <c r="A20" s="598">
        <v>0.2</v>
      </c>
      <c r="B20" s="598">
        <v>0.64999899999999999</v>
      </c>
      <c r="C20" s="598" t="s">
        <v>506</v>
      </c>
      <c r="D20" s="599">
        <v>0.155</v>
      </c>
      <c r="F20" s="597">
        <v>0.05</v>
      </c>
      <c r="G20" s="597">
        <v>9.9999000000000005E-2</v>
      </c>
      <c r="H20" s="600" t="s">
        <v>506</v>
      </c>
      <c r="I20" s="599">
        <v>0.155</v>
      </c>
    </row>
    <row r="21" spans="1:10">
      <c r="A21" s="598">
        <v>0.65</v>
      </c>
      <c r="B21" s="598">
        <v>0.79999900000000002</v>
      </c>
      <c r="C21" s="598" t="s">
        <v>507</v>
      </c>
      <c r="D21" s="599">
        <v>0.10100000000000001</v>
      </c>
      <c r="F21" s="597">
        <v>0.1</v>
      </c>
      <c r="G21" s="597">
        <v>0.19999900000000001</v>
      </c>
      <c r="H21" s="600" t="s">
        <v>507</v>
      </c>
      <c r="I21" s="599">
        <v>0.10100000000000001</v>
      </c>
    </row>
    <row r="22" spans="1:10">
      <c r="A22" s="598">
        <v>0.8</v>
      </c>
      <c r="B22" s="598">
        <v>1.2499990000000001</v>
      </c>
      <c r="C22" s="598" t="s">
        <v>508</v>
      </c>
      <c r="D22" s="599">
        <v>7.2800000000000004E-2</v>
      </c>
      <c r="F22" s="597">
        <v>0.2</v>
      </c>
      <c r="G22" s="597">
        <v>0.29999900000000002</v>
      </c>
      <c r="H22" s="600" t="s">
        <v>508</v>
      </c>
      <c r="I22" s="599">
        <v>7.2800000000000004E-2</v>
      </c>
    </row>
    <row r="23" spans="1:10">
      <c r="A23" s="598">
        <v>1.25</v>
      </c>
      <c r="B23" s="598">
        <v>1.4999990000000001</v>
      </c>
      <c r="C23" s="598" t="s">
        <v>509</v>
      </c>
      <c r="D23" s="599">
        <v>4.4200000000000003E-2</v>
      </c>
      <c r="F23" s="597">
        <v>0.3</v>
      </c>
      <c r="G23" s="597">
        <v>0.39999899999999999</v>
      </c>
      <c r="H23" s="600" t="s">
        <v>509</v>
      </c>
      <c r="I23" s="599">
        <v>4.4200000000000003E-2</v>
      </c>
    </row>
    <row r="24" spans="1:10">
      <c r="A24" s="598">
        <v>1.5</v>
      </c>
      <c r="B24" s="598">
        <v>1.7499990000000001</v>
      </c>
      <c r="C24" s="598" t="s">
        <v>510</v>
      </c>
      <c r="D24" s="599">
        <v>0.03</v>
      </c>
      <c r="F24" s="597">
        <v>0.4</v>
      </c>
      <c r="G24" s="597">
        <v>0.49999900000000003</v>
      </c>
      <c r="H24" s="600" t="s">
        <v>510</v>
      </c>
      <c r="I24" s="599">
        <v>0.03</v>
      </c>
    </row>
    <row r="25" spans="1:10">
      <c r="A25" s="598">
        <v>1.75</v>
      </c>
      <c r="B25" s="598">
        <v>1.9999990000000001</v>
      </c>
      <c r="C25" s="598" t="s">
        <v>511</v>
      </c>
      <c r="D25" s="599">
        <v>2.6100000000000002E-2</v>
      </c>
      <c r="F25" s="597">
        <v>0.5</v>
      </c>
      <c r="G25" s="597">
        <v>0.59999899999999995</v>
      </c>
      <c r="H25" s="600" t="s">
        <v>511</v>
      </c>
      <c r="I25" s="599">
        <v>2.6100000000000002E-2</v>
      </c>
    </row>
    <row r="26" spans="1:10">
      <c r="A26" s="598">
        <v>2</v>
      </c>
      <c r="B26" s="598">
        <v>2.2499999000000002</v>
      </c>
      <c r="C26" s="598" t="s">
        <v>512</v>
      </c>
      <c r="D26" s="599">
        <v>1.83E-2</v>
      </c>
      <c r="F26" s="597">
        <v>0.6</v>
      </c>
      <c r="G26" s="597">
        <v>0.74999899999999997</v>
      </c>
      <c r="H26" s="600" t="s">
        <v>512</v>
      </c>
      <c r="I26" s="599">
        <v>1.83E-2</v>
      </c>
    </row>
    <row r="27" spans="1:10">
      <c r="A27" s="598">
        <v>2.25</v>
      </c>
      <c r="B27" s="598">
        <v>2.4999899999999999</v>
      </c>
      <c r="C27" s="598" t="s">
        <v>513</v>
      </c>
      <c r="D27" s="599">
        <v>1.55E-2</v>
      </c>
      <c r="F27" s="597">
        <v>0.75</v>
      </c>
      <c r="G27" s="597">
        <v>0.89999899999999999</v>
      </c>
      <c r="H27" s="600" t="s">
        <v>513</v>
      </c>
      <c r="I27" s="599">
        <v>1.55E-2</v>
      </c>
    </row>
    <row r="28" spans="1:10">
      <c r="A28" s="598">
        <v>2.5</v>
      </c>
      <c r="B28" s="598">
        <v>2.9999989999999999</v>
      </c>
      <c r="C28" s="598" t="s">
        <v>514</v>
      </c>
      <c r="D28" s="599">
        <v>1.2E-2</v>
      </c>
      <c r="F28" s="597">
        <v>0.9</v>
      </c>
      <c r="G28" s="597">
        <v>1.199999</v>
      </c>
      <c r="H28" s="600" t="s">
        <v>514</v>
      </c>
      <c r="I28" s="599">
        <v>1.2E-2</v>
      </c>
    </row>
    <row r="29" spans="1:10">
      <c r="A29" s="598">
        <v>3</v>
      </c>
      <c r="B29" s="598">
        <v>4.2499989999999999</v>
      </c>
      <c r="C29" s="598" t="s">
        <v>515</v>
      </c>
      <c r="D29" s="599">
        <v>9.4999999999999998E-3</v>
      </c>
      <c r="F29" s="597">
        <v>1.2</v>
      </c>
      <c r="G29" s="597">
        <v>1.4999899999999999</v>
      </c>
      <c r="H29" s="600" t="s">
        <v>515</v>
      </c>
      <c r="I29" s="599">
        <v>9.4999999999999998E-3</v>
      </c>
    </row>
    <row r="30" spans="1:10">
      <c r="A30" s="598">
        <v>4.25</v>
      </c>
      <c r="B30" s="598">
        <v>5.4999989999999999</v>
      </c>
      <c r="C30" s="598" t="s">
        <v>516</v>
      </c>
      <c r="D30" s="599">
        <v>8.5000000000000006E-3</v>
      </c>
      <c r="F30" s="597">
        <v>1.5</v>
      </c>
      <c r="G30" s="597">
        <v>1.9999899999999999</v>
      </c>
      <c r="H30" s="600" t="s">
        <v>516</v>
      </c>
      <c r="I30" s="599">
        <v>8.5000000000000006E-3</v>
      </c>
    </row>
    <row r="31" spans="1:10">
      <c r="A31" s="598">
        <v>5.5</v>
      </c>
      <c r="B31" s="598">
        <v>6.4999989999999999</v>
      </c>
      <c r="C31" s="598" t="s">
        <v>517</v>
      </c>
      <c r="D31" s="599">
        <v>7.7000000000000002E-3</v>
      </c>
      <c r="F31" s="597">
        <v>2</v>
      </c>
      <c r="G31" s="597">
        <v>2.4999899999999999</v>
      </c>
      <c r="H31" s="600" t="s">
        <v>517</v>
      </c>
      <c r="I31" s="599">
        <v>7.7000000000000002E-3</v>
      </c>
    </row>
    <row r="32" spans="1:10">
      <c r="A32" s="598">
        <v>6.5</v>
      </c>
      <c r="B32" s="598">
        <v>8.4999990000000007</v>
      </c>
      <c r="C32" s="598" t="s">
        <v>518</v>
      </c>
      <c r="D32" s="599">
        <v>6.0000000000000001E-3</v>
      </c>
      <c r="F32" s="597">
        <v>2.5</v>
      </c>
      <c r="G32" s="597">
        <v>2.9999899999999999</v>
      </c>
      <c r="H32" s="600" t="s">
        <v>518</v>
      </c>
      <c r="I32" s="599">
        <v>6.0000000000000001E-3</v>
      </c>
    </row>
    <row r="33" spans="1:9">
      <c r="A33" s="601">
        <v>8.5</v>
      </c>
      <c r="B33" s="598">
        <v>100000</v>
      </c>
      <c r="C33" s="598" t="s">
        <v>519</v>
      </c>
      <c r="D33" s="599">
        <v>4.4999999999999997E-3</v>
      </c>
      <c r="F33" s="597">
        <v>3</v>
      </c>
      <c r="G33" s="597">
        <v>100000</v>
      </c>
      <c r="H33" s="600" t="s">
        <v>519</v>
      </c>
      <c r="I33" s="599">
        <v>4.4999999999999997E-3</v>
      </c>
    </row>
    <row r="34" spans="1:9">
      <c r="A34" s="602"/>
      <c r="B34" s="602"/>
      <c r="C34" s="602"/>
      <c r="D34" s="602"/>
    </row>
    <row r="35" spans="1:9">
      <c r="A35" s="603" t="s">
        <v>520</v>
      </c>
      <c r="B35" s="602"/>
      <c r="C35" s="602"/>
      <c r="D35" s="602"/>
    </row>
    <row r="36" spans="1:9">
      <c r="A36" s="790" t="s">
        <v>498</v>
      </c>
      <c r="B36" s="791"/>
      <c r="C36" s="598"/>
      <c r="D36" s="598"/>
    </row>
    <row r="37" spans="1:9">
      <c r="A37" s="598" t="s">
        <v>504</v>
      </c>
      <c r="B37" s="598" t="s">
        <v>501</v>
      </c>
      <c r="C37" s="598" t="s">
        <v>502</v>
      </c>
      <c r="D37" s="598" t="s">
        <v>503</v>
      </c>
    </row>
    <row r="38" spans="1:9">
      <c r="A38" s="598">
        <v>-100000</v>
      </c>
      <c r="B38" s="598">
        <v>0.49999900000000003</v>
      </c>
      <c r="C38" s="598" t="s">
        <v>505</v>
      </c>
      <c r="D38" s="599">
        <v>0.19</v>
      </c>
    </row>
    <row r="39" spans="1:9">
      <c r="A39" s="598">
        <v>0.5</v>
      </c>
      <c r="B39" s="598">
        <v>0.79999900000000002</v>
      </c>
      <c r="C39" s="598" t="s">
        <v>506</v>
      </c>
      <c r="D39" s="599">
        <v>0.155</v>
      </c>
    </row>
    <row r="40" spans="1:9">
      <c r="A40" s="598">
        <v>0.8</v>
      </c>
      <c r="B40" s="598">
        <v>1.2499990000000001</v>
      </c>
      <c r="C40" s="598" t="s">
        <v>507</v>
      </c>
      <c r="D40" s="599">
        <v>0.10100000000000001</v>
      </c>
    </row>
    <row r="41" spans="1:9">
      <c r="A41" s="598">
        <v>1.25</v>
      </c>
      <c r="B41" s="598">
        <v>1.4999990000000001</v>
      </c>
      <c r="C41" s="598" t="s">
        <v>508</v>
      </c>
      <c r="D41" s="599">
        <v>7.2800000000000004E-2</v>
      </c>
    </row>
    <row r="42" spans="1:9">
      <c r="A42" s="598">
        <v>1.5</v>
      </c>
      <c r="B42" s="598">
        <v>1.9999990000000001</v>
      </c>
      <c r="C42" s="598" t="s">
        <v>509</v>
      </c>
      <c r="D42" s="599">
        <v>4.4200000000000003E-2</v>
      </c>
    </row>
    <row r="43" spans="1:9">
      <c r="A43" s="598">
        <v>2</v>
      </c>
      <c r="B43" s="598">
        <v>2.4999989999999999</v>
      </c>
      <c r="C43" s="598" t="s">
        <v>510</v>
      </c>
      <c r="D43" s="599">
        <v>0.03</v>
      </c>
    </row>
    <row r="44" spans="1:9">
      <c r="A44" s="598">
        <v>2.5</v>
      </c>
      <c r="B44" s="598">
        <v>2.9999989999999999</v>
      </c>
      <c r="C44" s="598" t="s">
        <v>511</v>
      </c>
      <c r="D44" s="599">
        <v>2.6100000000000002E-2</v>
      </c>
    </row>
    <row r="45" spans="1:9">
      <c r="A45" s="598">
        <v>3</v>
      </c>
      <c r="B45" s="598">
        <v>3.4999989999999999</v>
      </c>
      <c r="C45" s="598" t="s">
        <v>512</v>
      </c>
      <c r="D45" s="599">
        <v>1.83E-2</v>
      </c>
    </row>
    <row r="46" spans="1:9">
      <c r="A46" s="598">
        <v>3.5</v>
      </c>
      <c r="B46" s="598">
        <v>3.9999999000000002</v>
      </c>
      <c r="C46" s="598" t="s">
        <v>513</v>
      </c>
      <c r="D46" s="599">
        <v>1.55E-2</v>
      </c>
    </row>
    <row r="47" spans="1:9">
      <c r="A47" s="598">
        <v>4</v>
      </c>
      <c r="B47" s="598">
        <v>4.4999989999999999</v>
      </c>
      <c r="C47" s="598" t="s">
        <v>514</v>
      </c>
      <c r="D47" s="599">
        <v>1.2E-2</v>
      </c>
    </row>
    <row r="48" spans="1:9">
      <c r="A48" s="598">
        <v>4.5</v>
      </c>
      <c r="B48" s="598">
        <v>5.9999989999999999</v>
      </c>
      <c r="C48" s="598" t="s">
        <v>515</v>
      </c>
      <c r="D48" s="599">
        <v>9.4999999999999998E-3</v>
      </c>
    </row>
    <row r="49" spans="1:7">
      <c r="A49" s="598">
        <v>6</v>
      </c>
      <c r="B49" s="598">
        <v>7.4999989999999999</v>
      </c>
      <c r="C49" s="598" t="s">
        <v>516</v>
      </c>
      <c r="D49" s="599">
        <v>8.5000000000000006E-3</v>
      </c>
    </row>
    <row r="50" spans="1:7">
      <c r="A50" s="598">
        <v>7.5</v>
      </c>
      <c r="B50" s="598">
        <v>9.4999990000000007</v>
      </c>
      <c r="C50" s="598" t="s">
        <v>517</v>
      </c>
      <c r="D50" s="599">
        <v>7.7000000000000002E-3</v>
      </c>
    </row>
    <row r="51" spans="1:7">
      <c r="A51" s="598">
        <v>9.5</v>
      </c>
      <c r="B51" s="598">
        <v>12.499999000000001</v>
      </c>
      <c r="C51" s="598" t="s">
        <v>518</v>
      </c>
      <c r="D51" s="599">
        <v>6.0000000000000001E-3</v>
      </c>
    </row>
    <row r="52" spans="1:7">
      <c r="A52" s="598">
        <v>12.5</v>
      </c>
      <c r="B52" s="598">
        <v>100000</v>
      </c>
      <c r="C52" s="598" t="s">
        <v>519</v>
      </c>
      <c r="D52" s="599">
        <v>4.4999999999999997E-3</v>
      </c>
      <c r="F52" s="578"/>
      <c r="G52" s="578"/>
    </row>
  </sheetData>
  <mergeCells count="1">
    <mergeCell ref="A36:B36"/>
  </mergeCells>
  <dataValidations count="2">
    <dataValidation type="list" allowBlank="1" showInputMessage="1" showErrorMessage="1" sqref="F5 JB5 SX5 ACT5 AMP5 AWL5 BGH5 BQD5 BZZ5 CJV5 CTR5 DDN5 DNJ5 DXF5 EHB5 EQX5 FAT5 FKP5 FUL5 GEH5 GOD5 GXZ5 HHV5 HRR5 IBN5 ILJ5 IVF5 JFB5 JOX5 JYT5 KIP5 KSL5 LCH5 LMD5 LVZ5 MFV5 MPR5 MZN5 NJJ5 NTF5 ODB5 OMX5 OWT5 PGP5 PQL5 QAH5 QKD5 QTZ5 RDV5 RNR5 RXN5 SHJ5 SRF5 TBB5 TKX5 TUT5 UEP5 UOL5 UYH5 VID5 VRZ5 WBV5 WLR5 WVN5 F65541 JB65541 SX65541 ACT65541 AMP65541 AWL65541 BGH65541 BQD65541 BZZ65541 CJV65541 CTR65541 DDN65541 DNJ65541 DXF65541 EHB65541 EQX65541 FAT65541 FKP65541 FUL65541 GEH65541 GOD65541 GXZ65541 HHV65541 HRR65541 IBN65541 ILJ65541 IVF65541 JFB65541 JOX65541 JYT65541 KIP65541 KSL65541 LCH65541 LMD65541 LVZ65541 MFV65541 MPR65541 MZN65541 NJJ65541 NTF65541 ODB65541 OMX65541 OWT65541 PGP65541 PQL65541 QAH65541 QKD65541 QTZ65541 RDV65541 RNR65541 RXN65541 SHJ65541 SRF65541 TBB65541 TKX65541 TUT65541 UEP65541 UOL65541 UYH65541 VID65541 VRZ65541 WBV65541 WLR65541 WVN65541 F131077 JB131077 SX131077 ACT131077 AMP131077 AWL131077 BGH131077 BQD131077 BZZ131077 CJV131077 CTR131077 DDN131077 DNJ131077 DXF131077 EHB131077 EQX131077 FAT131077 FKP131077 FUL131077 GEH131077 GOD131077 GXZ131077 HHV131077 HRR131077 IBN131077 ILJ131077 IVF131077 JFB131077 JOX131077 JYT131077 KIP131077 KSL131077 LCH131077 LMD131077 LVZ131077 MFV131077 MPR131077 MZN131077 NJJ131077 NTF131077 ODB131077 OMX131077 OWT131077 PGP131077 PQL131077 QAH131077 QKD131077 QTZ131077 RDV131077 RNR131077 RXN131077 SHJ131077 SRF131077 TBB131077 TKX131077 TUT131077 UEP131077 UOL131077 UYH131077 VID131077 VRZ131077 WBV131077 WLR131077 WVN131077 F196613 JB196613 SX196613 ACT196613 AMP196613 AWL196613 BGH196613 BQD196613 BZZ196613 CJV196613 CTR196613 DDN196613 DNJ196613 DXF196613 EHB196613 EQX196613 FAT196613 FKP196613 FUL196613 GEH196613 GOD196613 GXZ196613 HHV196613 HRR196613 IBN196613 ILJ196613 IVF196613 JFB196613 JOX196613 JYT196613 KIP196613 KSL196613 LCH196613 LMD196613 LVZ196613 MFV196613 MPR196613 MZN196613 NJJ196613 NTF196613 ODB196613 OMX196613 OWT196613 PGP196613 PQL196613 QAH196613 QKD196613 QTZ196613 RDV196613 RNR196613 RXN196613 SHJ196613 SRF196613 TBB196613 TKX196613 TUT196613 UEP196613 UOL196613 UYH196613 VID196613 VRZ196613 WBV196613 WLR196613 WVN196613 F262149 JB262149 SX262149 ACT262149 AMP262149 AWL262149 BGH262149 BQD262149 BZZ262149 CJV262149 CTR262149 DDN262149 DNJ262149 DXF262149 EHB262149 EQX262149 FAT262149 FKP262149 FUL262149 GEH262149 GOD262149 GXZ262149 HHV262149 HRR262149 IBN262149 ILJ262149 IVF262149 JFB262149 JOX262149 JYT262149 KIP262149 KSL262149 LCH262149 LMD262149 LVZ262149 MFV262149 MPR262149 MZN262149 NJJ262149 NTF262149 ODB262149 OMX262149 OWT262149 PGP262149 PQL262149 QAH262149 QKD262149 QTZ262149 RDV262149 RNR262149 RXN262149 SHJ262149 SRF262149 TBB262149 TKX262149 TUT262149 UEP262149 UOL262149 UYH262149 VID262149 VRZ262149 WBV262149 WLR262149 WVN262149 F327685 JB327685 SX327685 ACT327685 AMP327685 AWL327685 BGH327685 BQD327685 BZZ327685 CJV327685 CTR327685 DDN327685 DNJ327685 DXF327685 EHB327685 EQX327685 FAT327685 FKP327685 FUL327685 GEH327685 GOD327685 GXZ327685 HHV327685 HRR327685 IBN327685 ILJ327685 IVF327685 JFB327685 JOX327685 JYT327685 KIP327685 KSL327685 LCH327685 LMD327685 LVZ327685 MFV327685 MPR327685 MZN327685 NJJ327685 NTF327685 ODB327685 OMX327685 OWT327685 PGP327685 PQL327685 QAH327685 QKD327685 QTZ327685 RDV327685 RNR327685 RXN327685 SHJ327685 SRF327685 TBB327685 TKX327685 TUT327685 UEP327685 UOL327685 UYH327685 VID327685 VRZ327685 WBV327685 WLR327685 WVN327685 F393221 JB393221 SX393221 ACT393221 AMP393221 AWL393221 BGH393221 BQD393221 BZZ393221 CJV393221 CTR393221 DDN393221 DNJ393221 DXF393221 EHB393221 EQX393221 FAT393221 FKP393221 FUL393221 GEH393221 GOD393221 GXZ393221 HHV393221 HRR393221 IBN393221 ILJ393221 IVF393221 JFB393221 JOX393221 JYT393221 KIP393221 KSL393221 LCH393221 LMD393221 LVZ393221 MFV393221 MPR393221 MZN393221 NJJ393221 NTF393221 ODB393221 OMX393221 OWT393221 PGP393221 PQL393221 QAH393221 QKD393221 QTZ393221 RDV393221 RNR393221 RXN393221 SHJ393221 SRF393221 TBB393221 TKX393221 TUT393221 UEP393221 UOL393221 UYH393221 VID393221 VRZ393221 WBV393221 WLR393221 WVN393221 F458757 JB458757 SX458757 ACT458757 AMP458757 AWL458757 BGH458757 BQD458757 BZZ458757 CJV458757 CTR458757 DDN458757 DNJ458757 DXF458757 EHB458757 EQX458757 FAT458757 FKP458757 FUL458757 GEH458757 GOD458757 GXZ458757 HHV458757 HRR458757 IBN458757 ILJ458757 IVF458757 JFB458757 JOX458757 JYT458757 KIP458757 KSL458757 LCH458757 LMD458757 LVZ458757 MFV458757 MPR458757 MZN458757 NJJ458757 NTF458757 ODB458757 OMX458757 OWT458757 PGP458757 PQL458757 QAH458757 QKD458757 QTZ458757 RDV458757 RNR458757 RXN458757 SHJ458757 SRF458757 TBB458757 TKX458757 TUT458757 UEP458757 UOL458757 UYH458757 VID458757 VRZ458757 WBV458757 WLR458757 WVN458757 F524293 JB524293 SX524293 ACT524293 AMP524293 AWL524293 BGH524293 BQD524293 BZZ524293 CJV524293 CTR524293 DDN524293 DNJ524293 DXF524293 EHB524293 EQX524293 FAT524293 FKP524293 FUL524293 GEH524293 GOD524293 GXZ524293 HHV524293 HRR524293 IBN524293 ILJ524293 IVF524293 JFB524293 JOX524293 JYT524293 KIP524293 KSL524293 LCH524293 LMD524293 LVZ524293 MFV524293 MPR524293 MZN524293 NJJ524293 NTF524293 ODB524293 OMX524293 OWT524293 PGP524293 PQL524293 QAH524293 QKD524293 QTZ524293 RDV524293 RNR524293 RXN524293 SHJ524293 SRF524293 TBB524293 TKX524293 TUT524293 UEP524293 UOL524293 UYH524293 VID524293 VRZ524293 WBV524293 WLR524293 WVN524293 F589829 JB589829 SX589829 ACT589829 AMP589829 AWL589829 BGH589829 BQD589829 BZZ589829 CJV589829 CTR589829 DDN589829 DNJ589829 DXF589829 EHB589829 EQX589829 FAT589829 FKP589829 FUL589829 GEH589829 GOD589829 GXZ589829 HHV589829 HRR589829 IBN589829 ILJ589829 IVF589829 JFB589829 JOX589829 JYT589829 KIP589829 KSL589829 LCH589829 LMD589829 LVZ589829 MFV589829 MPR589829 MZN589829 NJJ589829 NTF589829 ODB589829 OMX589829 OWT589829 PGP589829 PQL589829 QAH589829 QKD589829 QTZ589829 RDV589829 RNR589829 RXN589829 SHJ589829 SRF589829 TBB589829 TKX589829 TUT589829 UEP589829 UOL589829 UYH589829 VID589829 VRZ589829 WBV589829 WLR589829 WVN589829 F655365 JB655365 SX655365 ACT655365 AMP655365 AWL655365 BGH655365 BQD655365 BZZ655365 CJV655365 CTR655365 DDN655365 DNJ655365 DXF655365 EHB655365 EQX655365 FAT655365 FKP655365 FUL655365 GEH655365 GOD655365 GXZ655365 HHV655365 HRR655365 IBN655365 ILJ655365 IVF655365 JFB655365 JOX655365 JYT655365 KIP655365 KSL655365 LCH655365 LMD655365 LVZ655365 MFV655365 MPR655365 MZN655365 NJJ655365 NTF655365 ODB655365 OMX655365 OWT655365 PGP655365 PQL655365 QAH655365 QKD655365 QTZ655365 RDV655365 RNR655365 RXN655365 SHJ655365 SRF655365 TBB655365 TKX655365 TUT655365 UEP655365 UOL655365 UYH655365 VID655365 VRZ655365 WBV655365 WLR655365 WVN655365 F720901 JB720901 SX720901 ACT720901 AMP720901 AWL720901 BGH720901 BQD720901 BZZ720901 CJV720901 CTR720901 DDN720901 DNJ720901 DXF720901 EHB720901 EQX720901 FAT720901 FKP720901 FUL720901 GEH720901 GOD720901 GXZ720901 HHV720901 HRR720901 IBN720901 ILJ720901 IVF720901 JFB720901 JOX720901 JYT720901 KIP720901 KSL720901 LCH720901 LMD720901 LVZ720901 MFV720901 MPR720901 MZN720901 NJJ720901 NTF720901 ODB720901 OMX720901 OWT720901 PGP720901 PQL720901 QAH720901 QKD720901 QTZ720901 RDV720901 RNR720901 RXN720901 SHJ720901 SRF720901 TBB720901 TKX720901 TUT720901 UEP720901 UOL720901 UYH720901 VID720901 VRZ720901 WBV720901 WLR720901 WVN720901 F786437 JB786437 SX786437 ACT786437 AMP786437 AWL786437 BGH786437 BQD786437 BZZ786437 CJV786437 CTR786437 DDN786437 DNJ786437 DXF786437 EHB786437 EQX786437 FAT786437 FKP786437 FUL786437 GEH786437 GOD786437 GXZ786437 HHV786437 HRR786437 IBN786437 ILJ786437 IVF786437 JFB786437 JOX786437 JYT786437 KIP786437 KSL786437 LCH786437 LMD786437 LVZ786437 MFV786437 MPR786437 MZN786437 NJJ786437 NTF786437 ODB786437 OMX786437 OWT786437 PGP786437 PQL786437 QAH786437 QKD786437 QTZ786437 RDV786437 RNR786437 RXN786437 SHJ786437 SRF786437 TBB786437 TKX786437 TUT786437 UEP786437 UOL786437 UYH786437 VID786437 VRZ786437 WBV786437 WLR786437 WVN786437 F851973 JB851973 SX851973 ACT851973 AMP851973 AWL851973 BGH851973 BQD851973 BZZ851973 CJV851973 CTR851973 DDN851973 DNJ851973 DXF851973 EHB851973 EQX851973 FAT851973 FKP851973 FUL851973 GEH851973 GOD851973 GXZ851973 HHV851973 HRR851973 IBN851973 ILJ851973 IVF851973 JFB851973 JOX851973 JYT851973 KIP851973 KSL851973 LCH851973 LMD851973 LVZ851973 MFV851973 MPR851973 MZN851973 NJJ851973 NTF851973 ODB851973 OMX851973 OWT851973 PGP851973 PQL851973 QAH851973 QKD851973 QTZ851973 RDV851973 RNR851973 RXN851973 SHJ851973 SRF851973 TBB851973 TKX851973 TUT851973 UEP851973 UOL851973 UYH851973 VID851973 VRZ851973 WBV851973 WLR851973 WVN851973 F917509 JB917509 SX917509 ACT917509 AMP917509 AWL917509 BGH917509 BQD917509 BZZ917509 CJV917509 CTR917509 DDN917509 DNJ917509 DXF917509 EHB917509 EQX917509 FAT917509 FKP917509 FUL917509 GEH917509 GOD917509 GXZ917509 HHV917509 HRR917509 IBN917509 ILJ917509 IVF917509 JFB917509 JOX917509 JYT917509 KIP917509 KSL917509 LCH917509 LMD917509 LVZ917509 MFV917509 MPR917509 MZN917509 NJJ917509 NTF917509 ODB917509 OMX917509 OWT917509 PGP917509 PQL917509 QAH917509 QKD917509 QTZ917509 RDV917509 RNR917509 RXN917509 SHJ917509 SRF917509 TBB917509 TKX917509 TUT917509 UEP917509 UOL917509 UYH917509 VID917509 VRZ917509 WBV917509 WLR917509 WVN917509 F983045 JB983045 SX983045 ACT983045 AMP983045 AWL983045 BGH983045 BQD983045 BZZ983045 CJV983045 CTR983045 DDN983045 DNJ983045 DXF983045 EHB983045 EQX983045 FAT983045 FKP983045 FUL983045 GEH983045 GOD983045 GXZ983045 HHV983045 HRR983045 IBN983045 ILJ983045 IVF983045 JFB983045 JOX983045 JYT983045 KIP983045 KSL983045 LCH983045 LMD983045 LVZ983045 MFV983045 MPR983045 MZN983045 NJJ983045 NTF983045 ODB983045 OMX983045 OWT983045 PGP983045 PQL983045 QAH983045 QKD983045 QTZ983045 RDV983045 RNR983045 RXN983045 SHJ983045 SRF983045 TBB983045 TKX983045 TUT983045 UEP983045 UOL983045 UYH983045 VID983045 VRZ983045 WBV983045 WLR983045 WVN983045" xr:uid="{6F0DEB3E-936A-E34E-B196-2C2C7AA03DB8}">
      <formula1>$O$1:$O$2</formula1>
    </dataValidation>
    <dataValidation type="list" allowBlank="1" showInputMessage="1" showErrorMessage="1" sqref="C4 IY4 SU4 ACQ4 AMM4 AWI4 BGE4 BQA4 BZW4 CJS4 CTO4 DDK4 DNG4 DXC4 EGY4 EQU4 FAQ4 FKM4 FUI4 GEE4 GOA4 GXW4 HHS4 HRO4 IBK4 ILG4 IVC4 JEY4 JOU4 JYQ4 KIM4 KSI4 LCE4 LMA4 LVW4 MFS4 MPO4 MZK4 NJG4 NTC4 OCY4 OMU4 OWQ4 PGM4 PQI4 QAE4 QKA4 QTW4 RDS4 RNO4 RXK4 SHG4 SRC4 TAY4 TKU4 TUQ4 UEM4 UOI4 UYE4 VIA4 VRW4 WBS4 WLO4 WVK4 C65540 IY65540 SU65540 ACQ65540 AMM65540 AWI65540 BGE65540 BQA65540 BZW65540 CJS65540 CTO65540 DDK65540 DNG65540 DXC65540 EGY65540 EQU65540 FAQ65540 FKM65540 FUI65540 GEE65540 GOA65540 GXW65540 HHS65540 HRO65540 IBK65540 ILG65540 IVC65540 JEY65540 JOU65540 JYQ65540 KIM65540 KSI65540 LCE65540 LMA65540 LVW65540 MFS65540 MPO65540 MZK65540 NJG65540 NTC65540 OCY65540 OMU65540 OWQ65540 PGM65540 PQI65540 QAE65540 QKA65540 QTW65540 RDS65540 RNO65540 RXK65540 SHG65540 SRC65540 TAY65540 TKU65540 TUQ65540 UEM65540 UOI65540 UYE65540 VIA65540 VRW65540 WBS65540 WLO65540 WVK65540 C131076 IY131076 SU131076 ACQ131076 AMM131076 AWI131076 BGE131076 BQA131076 BZW131076 CJS131076 CTO131076 DDK131076 DNG131076 DXC131076 EGY131076 EQU131076 FAQ131076 FKM131076 FUI131076 GEE131076 GOA131076 GXW131076 HHS131076 HRO131076 IBK131076 ILG131076 IVC131076 JEY131076 JOU131076 JYQ131076 KIM131076 KSI131076 LCE131076 LMA131076 LVW131076 MFS131076 MPO131076 MZK131076 NJG131076 NTC131076 OCY131076 OMU131076 OWQ131076 PGM131076 PQI131076 QAE131076 QKA131076 QTW131076 RDS131076 RNO131076 RXK131076 SHG131076 SRC131076 TAY131076 TKU131076 TUQ131076 UEM131076 UOI131076 UYE131076 VIA131076 VRW131076 WBS131076 WLO131076 WVK131076 C196612 IY196612 SU196612 ACQ196612 AMM196612 AWI196612 BGE196612 BQA196612 BZW196612 CJS196612 CTO196612 DDK196612 DNG196612 DXC196612 EGY196612 EQU196612 FAQ196612 FKM196612 FUI196612 GEE196612 GOA196612 GXW196612 HHS196612 HRO196612 IBK196612 ILG196612 IVC196612 JEY196612 JOU196612 JYQ196612 KIM196612 KSI196612 LCE196612 LMA196612 LVW196612 MFS196612 MPO196612 MZK196612 NJG196612 NTC196612 OCY196612 OMU196612 OWQ196612 PGM196612 PQI196612 QAE196612 QKA196612 QTW196612 RDS196612 RNO196612 RXK196612 SHG196612 SRC196612 TAY196612 TKU196612 TUQ196612 UEM196612 UOI196612 UYE196612 VIA196612 VRW196612 WBS196612 WLO196612 WVK196612 C262148 IY262148 SU262148 ACQ262148 AMM262148 AWI262148 BGE262148 BQA262148 BZW262148 CJS262148 CTO262148 DDK262148 DNG262148 DXC262148 EGY262148 EQU262148 FAQ262148 FKM262148 FUI262148 GEE262148 GOA262148 GXW262148 HHS262148 HRO262148 IBK262148 ILG262148 IVC262148 JEY262148 JOU262148 JYQ262148 KIM262148 KSI262148 LCE262148 LMA262148 LVW262148 MFS262148 MPO262148 MZK262148 NJG262148 NTC262148 OCY262148 OMU262148 OWQ262148 PGM262148 PQI262148 QAE262148 QKA262148 QTW262148 RDS262148 RNO262148 RXK262148 SHG262148 SRC262148 TAY262148 TKU262148 TUQ262148 UEM262148 UOI262148 UYE262148 VIA262148 VRW262148 WBS262148 WLO262148 WVK262148 C327684 IY327684 SU327684 ACQ327684 AMM327684 AWI327684 BGE327684 BQA327684 BZW327684 CJS327684 CTO327684 DDK327684 DNG327684 DXC327684 EGY327684 EQU327684 FAQ327684 FKM327684 FUI327684 GEE327684 GOA327684 GXW327684 HHS327684 HRO327684 IBK327684 ILG327684 IVC327684 JEY327684 JOU327684 JYQ327684 KIM327684 KSI327684 LCE327684 LMA327684 LVW327684 MFS327684 MPO327684 MZK327684 NJG327684 NTC327684 OCY327684 OMU327684 OWQ327684 PGM327684 PQI327684 QAE327684 QKA327684 QTW327684 RDS327684 RNO327684 RXK327684 SHG327684 SRC327684 TAY327684 TKU327684 TUQ327684 UEM327684 UOI327684 UYE327684 VIA327684 VRW327684 WBS327684 WLO327684 WVK327684 C393220 IY393220 SU393220 ACQ393220 AMM393220 AWI393220 BGE393220 BQA393220 BZW393220 CJS393220 CTO393220 DDK393220 DNG393220 DXC393220 EGY393220 EQU393220 FAQ393220 FKM393220 FUI393220 GEE393220 GOA393220 GXW393220 HHS393220 HRO393220 IBK393220 ILG393220 IVC393220 JEY393220 JOU393220 JYQ393220 KIM393220 KSI393220 LCE393220 LMA393220 LVW393220 MFS393220 MPO393220 MZK393220 NJG393220 NTC393220 OCY393220 OMU393220 OWQ393220 PGM393220 PQI393220 QAE393220 QKA393220 QTW393220 RDS393220 RNO393220 RXK393220 SHG393220 SRC393220 TAY393220 TKU393220 TUQ393220 UEM393220 UOI393220 UYE393220 VIA393220 VRW393220 WBS393220 WLO393220 WVK393220 C458756 IY458756 SU458756 ACQ458756 AMM458756 AWI458756 BGE458756 BQA458756 BZW458756 CJS458756 CTO458756 DDK458756 DNG458756 DXC458756 EGY458756 EQU458756 FAQ458756 FKM458756 FUI458756 GEE458756 GOA458756 GXW458756 HHS458756 HRO458756 IBK458756 ILG458756 IVC458756 JEY458756 JOU458756 JYQ458756 KIM458756 KSI458756 LCE458756 LMA458756 LVW458756 MFS458756 MPO458756 MZK458756 NJG458756 NTC458756 OCY458756 OMU458756 OWQ458756 PGM458756 PQI458756 QAE458756 QKA458756 QTW458756 RDS458756 RNO458756 RXK458756 SHG458756 SRC458756 TAY458756 TKU458756 TUQ458756 UEM458756 UOI458756 UYE458756 VIA458756 VRW458756 WBS458756 WLO458756 WVK458756 C524292 IY524292 SU524292 ACQ524292 AMM524292 AWI524292 BGE524292 BQA524292 BZW524292 CJS524292 CTO524292 DDK524292 DNG524292 DXC524292 EGY524292 EQU524292 FAQ524292 FKM524292 FUI524292 GEE524292 GOA524292 GXW524292 HHS524292 HRO524292 IBK524292 ILG524292 IVC524292 JEY524292 JOU524292 JYQ524292 KIM524292 KSI524292 LCE524292 LMA524292 LVW524292 MFS524292 MPO524292 MZK524292 NJG524292 NTC524292 OCY524292 OMU524292 OWQ524292 PGM524292 PQI524292 QAE524292 QKA524292 QTW524292 RDS524292 RNO524292 RXK524292 SHG524292 SRC524292 TAY524292 TKU524292 TUQ524292 UEM524292 UOI524292 UYE524292 VIA524292 VRW524292 WBS524292 WLO524292 WVK524292 C589828 IY589828 SU589828 ACQ589828 AMM589828 AWI589828 BGE589828 BQA589828 BZW589828 CJS589828 CTO589828 DDK589828 DNG589828 DXC589828 EGY589828 EQU589828 FAQ589828 FKM589828 FUI589828 GEE589828 GOA589828 GXW589828 HHS589828 HRO589828 IBK589828 ILG589828 IVC589828 JEY589828 JOU589828 JYQ589828 KIM589828 KSI589828 LCE589828 LMA589828 LVW589828 MFS589828 MPO589828 MZK589828 NJG589828 NTC589828 OCY589828 OMU589828 OWQ589828 PGM589828 PQI589828 QAE589828 QKA589828 QTW589828 RDS589828 RNO589828 RXK589828 SHG589828 SRC589828 TAY589828 TKU589828 TUQ589828 UEM589828 UOI589828 UYE589828 VIA589828 VRW589828 WBS589828 WLO589828 WVK589828 C655364 IY655364 SU655364 ACQ655364 AMM655364 AWI655364 BGE655364 BQA655364 BZW655364 CJS655364 CTO655364 DDK655364 DNG655364 DXC655364 EGY655364 EQU655364 FAQ655364 FKM655364 FUI655364 GEE655364 GOA655364 GXW655364 HHS655364 HRO655364 IBK655364 ILG655364 IVC655364 JEY655364 JOU655364 JYQ655364 KIM655364 KSI655364 LCE655364 LMA655364 LVW655364 MFS655364 MPO655364 MZK655364 NJG655364 NTC655364 OCY655364 OMU655364 OWQ655364 PGM655364 PQI655364 QAE655364 QKA655364 QTW655364 RDS655364 RNO655364 RXK655364 SHG655364 SRC655364 TAY655364 TKU655364 TUQ655364 UEM655364 UOI655364 UYE655364 VIA655364 VRW655364 WBS655364 WLO655364 WVK655364 C720900 IY720900 SU720900 ACQ720900 AMM720900 AWI720900 BGE720900 BQA720900 BZW720900 CJS720900 CTO720900 DDK720900 DNG720900 DXC720900 EGY720900 EQU720900 FAQ720900 FKM720900 FUI720900 GEE720900 GOA720900 GXW720900 HHS720900 HRO720900 IBK720900 ILG720900 IVC720900 JEY720900 JOU720900 JYQ720900 KIM720900 KSI720900 LCE720900 LMA720900 LVW720900 MFS720900 MPO720900 MZK720900 NJG720900 NTC720900 OCY720900 OMU720900 OWQ720900 PGM720900 PQI720900 QAE720900 QKA720900 QTW720900 RDS720900 RNO720900 RXK720900 SHG720900 SRC720900 TAY720900 TKU720900 TUQ720900 UEM720900 UOI720900 UYE720900 VIA720900 VRW720900 WBS720900 WLO720900 WVK720900 C786436 IY786436 SU786436 ACQ786436 AMM786436 AWI786436 BGE786436 BQA786436 BZW786436 CJS786436 CTO786436 DDK786436 DNG786436 DXC786436 EGY786436 EQU786436 FAQ786436 FKM786436 FUI786436 GEE786436 GOA786436 GXW786436 HHS786436 HRO786436 IBK786436 ILG786436 IVC786436 JEY786436 JOU786436 JYQ786436 KIM786436 KSI786436 LCE786436 LMA786436 LVW786436 MFS786436 MPO786436 MZK786436 NJG786436 NTC786436 OCY786436 OMU786436 OWQ786436 PGM786436 PQI786436 QAE786436 QKA786436 QTW786436 RDS786436 RNO786436 RXK786436 SHG786436 SRC786436 TAY786436 TKU786436 TUQ786436 UEM786436 UOI786436 UYE786436 VIA786436 VRW786436 WBS786436 WLO786436 WVK786436 C851972 IY851972 SU851972 ACQ851972 AMM851972 AWI851972 BGE851972 BQA851972 BZW851972 CJS851972 CTO851972 DDK851972 DNG851972 DXC851972 EGY851972 EQU851972 FAQ851972 FKM851972 FUI851972 GEE851972 GOA851972 GXW851972 HHS851972 HRO851972 IBK851972 ILG851972 IVC851972 JEY851972 JOU851972 JYQ851972 KIM851972 KSI851972 LCE851972 LMA851972 LVW851972 MFS851972 MPO851972 MZK851972 NJG851972 NTC851972 OCY851972 OMU851972 OWQ851972 PGM851972 PQI851972 QAE851972 QKA851972 QTW851972 RDS851972 RNO851972 RXK851972 SHG851972 SRC851972 TAY851972 TKU851972 TUQ851972 UEM851972 UOI851972 UYE851972 VIA851972 VRW851972 WBS851972 WLO851972 WVK851972 C917508 IY917508 SU917508 ACQ917508 AMM917508 AWI917508 BGE917508 BQA917508 BZW917508 CJS917508 CTO917508 DDK917508 DNG917508 DXC917508 EGY917508 EQU917508 FAQ917508 FKM917508 FUI917508 GEE917508 GOA917508 GXW917508 HHS917508 HRO917508 IBK917508 ILG917508 IVC917508 JEY917508 JOU917508 JYQ917508 KIM917508 KSI917508 LCE917508 LMA917508 LVW917508 MFS917508 MPO917508 MZK917508 NJG917508 NTC917508 OCY917508 OMU917508 OWQ917508 PGM917508 PQI917508 QAE917508 QKA917508 QTW917508 RDS917508 RNO917508 RXK917508 SHG917508 SRC917508 TAY917508 TKU917508 TUQ917508 UEM917508 UOI917508 UYE917508 VIA917508 VRW917508 WBS917508 WLO917508 WVK917508 C983044 IY983044 SU983044 ACQ983044 AMM983044 AWI983044 BGE983044 BQA983044 BZW983044 CJS983044 CTO983044 DDK983044 DNG983044 DXC983044 EGY983044 EQU983044 FAQ983044 FKM983044 FUI983044 GEE983044 GOA983044 GXW983044 HHS983044 HRO983044 IBK983044 ILG983044 IVC983044 JEY983044 JOU983044 JYQ983044 KIM983044 KSI983044 LCE983044 LMA983044 LVW983044 MFS983044 MPO983044 MZK983044 NJG983044 NTC983044 OCY983044 OMU983044 OWQ983044 PGM983044 PQI983044 QAE983044 QKA983044 QTW983044 RDS983044 RNO983044 RXK983044 SHG983044 SRC983044 TAY983044 TKU983044 TUQ983044 UEM983044 UOI983044 UYE983044 VIA983044 VRW983044 WBS983044 WLO983044 WVK983044" xr:uid="{E3456402-3D6F-5649-92B1-02647C5ADA71}">
      <formula1>$P$1:$P$3</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F290F3155F7054B808EDC5A7C8FDC24" ma:contentTypeVersion="3" ma:contentTypeDescription="Create a new document." ma:contentTypeScope="" ma:versionID="fee6b5e2a9cfe8409d83b793331929c8">
  <xsd:schema xmlns:xsd="http://www.w3.org/2001/XMLSchema" xmlns:xs="http://www.w3.org/2001/XMLSchema" xmlns:p="http://schemas.microsoft.com/office/2006/metadata/properties" xmlns:ns2="4d8828f7-81f2-475d-94ca-fd0168609a34" targetNamespace="http://schemas.microsoft.com/office/2006/metadata/properties" ma:root="true" ma:fieldsID="b880bbaf5703e61468a6871f978632d3" ns2:_="">
    <xsd:import namespace="4d8828f7-81f2-475d-94ca-fd0168609a3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8828f7-81f2-475d-94ca-fd0168609a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6FA656D-2248-4B09-A04E-7E3BF05C099A}">
  <ds:schemaRefs>
    <ds:schemaRef ds:uri="http://schemas.microsoft.com/sharepoint/v3/contenttype/forms"/>
  </ds:schemaRefs>
</ds:datastoreItem>
</file>

<file path=customXml/itemProps2.xml><?xml version="1.0" encoding="utf-8"?>
<ds:datastoreItem xmlns:ds="http://schemas.openxmlformats.org/officeDocument/2006/customXml" ds:itemID="{3409CDB1-84A4-4B8A-988A-FE6488F183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8828f7-81f2-475d-94ca-fd0168609a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38AB8DB-8D19-4C77-93CE-26768B0C1B82}">
  <ds:schemaRefs>
    <ds:schemaRef ds:uri="http://schemas.microsoft.com/office/infopath/2007/PartnerControls"/>
    <ds:schemaRef ds:uri="http://schemas.openxmlformats.org/package/2006/metadata/core-properties"/>
    <ds:schemaRef ds:uri="http://schemas.microsoft.com/office/2006/documentManagement/types"/>
    <ds:schemaRef ds:uri="http://purl.org/dc/dcmitype/"/>
    <ds:schemaRef ds:uri="http://purl.org/dc/terms/"/>
    <ds:schemaRef ds:uri="4d8828f7-81f2-475d-94ca-fd0168609a34"/>
    <ds:schemaRef ds:uri="http://purl.org/dc/elements/1.1/"/>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Cover</vt:lpstr>
      <vt:lpstr>DuPont Analysis</vt:lpstr>
      <vt:lpstr>Valuation&gt;</vt:lpstr>
      <vt:lpstr>DCF</vt:lpstr>
      <vt:lpstr>Comps</vt:lpstr>
      <vt:lpstr>Balance&gt;</vt:lpstr>
      <vt:lpstr>3FS</vt:lpstr>
      <vt:lpstr>Projections</vt:lpstr>
      <vt:lpstr>Drivers&gt;</vt:lpstr>
      <vt:lpstr>Debt &amp; Equity</vt:lpstr>
      <vt:lpstr>PPE</vt:lpstr>
      <vt:lpstr>Intangibles</vt:lpstr>
      <vt:lpstr>Revenue Build</vt:lpstr>
      <vt:lpstr>References&gt;</vt:lpstr>
      <vt:lpstr>For Graphs</vt:lpstr>
      <vt:lpstr>Stock Price</vt:lpstr>
      <vt:lpstr>Synthetic Rating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2004-07-20T21:40:42Z</dcterms:created>
  <dcterms:modified xsi:type="dcterms:W3CDTF">2025-11-29T07:36:00Z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By">
    <vt:lpwstr>SoftArtisans OfficeWriter for Excel 8.6.2.281 (http://officewriter.softartisans.com)</vt:lpwstr>
  </property>
  <property fmtid="{D5CDD505-2E9C-101B-9397-08002B2CF9AE}" pid="3" name="ContentTypeId">
    <vt:lpwstr>0x0101003F290F3155F7054B808EDC5A7C8FDC24</vt:lpwstr>
  </property>
  <property fmtid="{D5CDD505-2E9C-101B-9397-08002B2CF9AE}" pid="4" name="MediaServiceImageTags">
    <vt:lpwstr/>
  </property>
</Properties>
</file>